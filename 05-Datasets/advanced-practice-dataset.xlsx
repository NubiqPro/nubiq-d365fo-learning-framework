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nkatSrinivasan369\Downloads\Microsoft Dynamics 365 Learning\"/>
    </mc:Choice>
  </mc:AlternateContent>
  <xr:revisionPtr revIDLastSave="0" documentId="13_ncr:1_{7BB64550-B7A4-4604-9FB9-48471DFA16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Products" sheetId="2" r:id="rId2"/>
    <sheet name="InventoryStructure" sheetId="3" r:id="rId3"/>
    <sheet name="Customers" sheetId="4" r:id="rId4"/>
    <sheet name="Vendors" sheetId="5" r:id="rId5"/>
    <sheet name="PurchaseOrders" sheetId="6" r:id="rId6"/>
    <sheet name="SalesOrders" sheetId="7" r:id="rId7"/>
    <sheet name="InventoryTransfers" sheetId="8" r:id="rId8"/>
    <sheet name="GLJournals" sheetId="9" r:id="rId9"/>
    <sheet name="Payments" sheetId="10" r:id="rId10"/>
    <sheet name="OrderTracking" sheetId="11" r:id="rId11"/>
    <sheet name="Scenario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0" l="1"/>
  <c r="G16" i="10"/>
  <c r="G15" i="10"/>
  <c r="G13" i="10"/>
  <c r="G2" i="10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21" i="10" s="1"/>
  <c r="G10" i="7"/>
  <c r="G20" i="10" s="1"/>
  <c r="G9" i="7"/>
  <c r="G19" i="10" s="1"/>
  <c r="G8" i="7"/>
  <c r="G7" i="7"/>
  <c r="G17" i="10" s="1"/>
  <c r="G6" i="7"/>
  <c r="G5" i="7"/>
  <c r="G4" i="7"/>
  <c r="G14" i="10" s="1"/>
  <c r="G3" i="7"/>
  <c r="G2" i="7"/>
  <c r="G12" i="10" s="1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1" i="10" s="1"/>
  <c r="G10" i="6"/>
  <c r="G10" i="10" s="1"/>
  <c r="G9" i="6"/>
  <c r="G9" i="10" s="1"/>
  <c r="G8" i="6"/>
  <c r="G8" i="10" s="1"/>
  <c r="G7" i="6"/>
  <c r="G7" i="10" s="1"/>
  <c r="G6" i="6"/>
  <c r="G6" i="10" s="1"/>
  <c r="G5" i="6"/>
  <c r="G5" i="10" s="1"/>
  <c r="G4" i="6"/>
  <c r="G4" i="10" s="1"/>
  <c r="G3" i="6"/>
  <c r="G3" i="10" s="1"/>
  <c r="G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Workbook assembled for training and practice use only.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Product master data for SCM and technical import scenarios.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Formula-driven line total = Qty * UnitCost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Formula-driven line total = Qty * UnitPrice</t>
        </r>
      </text>
    </comment>
  </commentList>
</comments>
</file>

<file path=xl/sharedStrings.xml><?xml version="1.0" encoding="utf-8"?>
<sst xmlns="http://schemas.openxmlformats.org/spreadsheetml/2006/main" count="2149" uniqueCount="603">
  <si>
    <t>Workbook</t>
  </si>
  <si>
    <t>D365 Advanced Practice Dataset</t>
  </si>
  <si>
    <t>Purpose</t>
  </si>
  <si>
    <t>Training dataset for D365 F&amp;O Technical, Finance Functional, and SCM Functional hands-on labs</t>
  </si>
  <si>
    <t>Coverage</t>
  </si>
  <si>
    <t>Products, inventory structure, customers, vendors, purchase orders, sales orders, transfers, GL journals, payments, order tracking, and scenarios</t>
  </si>
  <si>
    <t>Suggested Use</t>
  </si>
  <si>
    <t>Use master data sheets first, then execute transactions and scenarios module by module</t>
  </si>
  <si>
    <t>Key Notes</t>
  </si>
  <si>
    <t>Line totals in transaction sheets are formula-driven; scenario sheet maps sample exercises</t>
  </si>
  <si>
    <t>Record Volume</t>
  </si>
  <si>
    <t>100+ records across sheets for practice, import, reporting, and troubleshooting</t>
  </si>
  <si>
    <t>ItemId</t>
  </si>
  <si>
    <t>Name</t>
  </si>
  <si>
    <t>ItemGroup</t>
  </si>
  <si>
    <t>ProductType</t>
  </si>
  <si>
    <t>CostPrice</t>
  </si>
  <si>
    <t>SalesPrice</t>
  </si>
  <si>
    <t>Unit</t>
  </si>
  <si>
    <t>Site</t>
  </si>
  <si>
    <t>Warehouse</t>
  </si>
  <si>
    <t>Status</t>
  </si>
  <si>
    <t>ITEM001</t>
  </si>
  <si>
    <t>Laptop Basic</t>
  </si>
  <si>
    <t>ITHW</t>
  </si>
  <si>
    <t>Item</t>
  </si>
  <si>
    <t>box</t>
  </si>
  <si>
    <t>S1</t>
  </si>
  <si>
    <t>WH1</t>
  </si>
  <si>
    <t>Active</t>
  </si>
  <si>
    <t>ITEM002</t>
  </si>
  <si>
    <t>Laptop Pro</t>
  </si>
  <si>
    <t>ELEC</t>
  </si>
  <si>
    <t>ea</t>
  </si>
  <si>
    <t>WH3</t>
  </si>
  <si>
    <t>ITEM003</t>
  </si>
  <si>
    <t>Wireless Mouse</t>
  </si>
  <si>
    <t>ITEM004</t>
  </si>
  <si>
    <t>Keyboard Standard</t>
  </si>
  <si>
    <t>ITEM005</t>
  </si>
  <si>
    <t>Monitor 24</t>
  </si>
  <si>
    <t>OFFICE</t>
  </si>
  <si>
    <t>WH2</t>
  </si>
  <si>
    <t>ITEM006</t>
  </si>
  <si>
    <t>Monitor 27</t>
  </si>
  <si>
    <t>ITEM007</t>
  </si>
  <si>
    <t>Docking Station</t>
  </si>
  <si>
    <t>ITEM008</t>
  </si>
  <si>
    <t>USB-C Cable</t>
  </si>
  <si>
    <t>ITEM009</t>
  </si>
  <si>
    <t>Headset Pro</t>
  </si>
  <si>
    <t>ITEM010</t>
  </si>
  <si>
    <t>Webcam HD</t>
  </si>
  <si>
    <t>ITEM011</t>
  </si>
  <si>
    <t>Office Chair</t>
  </si>
  <si>
    <t>ITEM012</t>
  </si>
  <si>
    <t>Desk Adjustable</t>
  </si>
  <si>
    <t>ITEM013</t>
  </si>
  <si>
    <t>Printer Laser</t>
  </si>
  <si>
    <t>ITEM014</t>
  </si>
  <si>
    <t>Printer Ink</t>
  </si>
  <si>
    <t>ITEM015</t>
  </si>
  <si>
    <t>Router WiFi</t>
  </si>
  <si>
    <t>ITEM016</t>
  </si>
  <si>
    <t>Switch 24 Port</t>
  </si>
  <si>
    <t>ITEM017</t>
  </si>
  <si>
    <t>Phone Desk</t>
  </si>
  <si>
    <t>ITEM018</t>
  </si>
  <si>
    <t>Tablet Lite</t>
  </si>
  <si>
    <t>ITEM019</t>
  </si>
  <si>
    <t>Tablet Pro</t>
  </si>
  <si>
    <t>ITEM020</t>
  </si>
  <si>
    <t>Projector</t>
  </si>
  <si>
    <t>ITEM021</t>
  </si>
  <si>
    <t>SSD 1TB</t>
  </si>
  <si>
    <t>ITEM022</t>
  </si>
  <si>
    <t>RAM 16GB</t>
  </si>
  <si>
    <t>ITEM023</t>
  </si>
  <si>
    <t>Server Rack</t>
  </si>
  <si>
    <t>ITEM024</t>
  </si>
  <si>
    <t>Barcode Scanner</t>
  </si>
  <si>
    <t>ITEM025</t>
  </si>
  <si>
    <t>Label Printer</t>
  </si>
  <si>
    <t>Location</t>
  </si>
  <si>
    <t>WarehouseType</t>
  </si>
  <si>
    <t>DefaultReceipt</t>
  </si>
  <si>
    <t>DefaultIssue</t>
  </si>
  <si>
    <t>WH1-L01</t>
  </si>
  <si>
    <t>Standard</t>
  </si>
  <si>
    <t>Yes</t>
  </si>
  <si>
    <t>No</t>
  </si>
  <si>
    <t>WH1-L02</t>
  </si>
  <si>
    <t>Pick</t>
  </si>
  <si>
    <t>WH1-L03</t>
  </si>
  <si>
    <t>Bulk</t>
  </si>
  <si>
    <t>WH1-L04</t>
  </si>
  <si>
    <t>WH1-L05</t>
  </si>
  <si>
    <t>WH2-L01</t>
  </si>
  <si>
    <t>WH2-L02</t>
  </si>
  <si>
    <t>WH2-L03</t>
  </si>
  <si>
    <t>WH2-L04</t>
  </si>
  <si>
    <t>WH2-L05</t>
  </si>
  <si>
    <t>WH3-L01</t>
  </si>
  <si>
    <t>WH3-L02</t>
  </si>
  <si>
    <t>WH3-L03</t>
  </si>
  <si>
    <t>WH3-L04</t>
  </si>
  <si>
    <t>WH3-L05</t>
  </si>
  <si>
    <t>CustomerId</t>
  </si>
  <si>
    <t>CustomerGroup</t>
  </si>
  <si>
    <t>CreditLimit</t>
  </si>
  <si>
    <t>Currency</t>
  </si>
  <si>
    <t>PaymentTerms</t>
  </si>
  <si>
    <t>City</t>
  </si>
  <si>
    <t>State</t>
  </si>
  <si>
    <t>CUST001</t>
  </si>
  <si>
    <t>ABC Retail</t>
  </si>
  <si>
    <t>B2B</t>
  </si>
  <si>
    <t>USD</t>
  </si>
  <si>
    <t>Net 30</t>
  </si>
  <si>
    <t>Austin</t>
  </si>
  <si>
    <t>TX</t>
  </si>
  <si>
    <t>CUST002</t>
  </si>
  <si>
    <t>XYZ Stores</t>
  </si>
  <si>
    <t>WHOLESALE</t>
  </si>
  <si>
    <t>Net 15</t>
  </si>
  <si>
    <t>Seattle</t>
  </si>
  <si>
    <t>WA</t>
  </si>
  <si>
    <t>CUST003</t>
  </si>
  <si>
    <t>Northwind Traders</t>
  </si>
  <si>
    <t>RETAIL</t>
  </si>
  <si>
    <t>Chicago</t>
  </si>
  <si>
    <t>IL</t>
  </si>
  <si>
    <t>CUST004</t>
  </si>
  <si>
    <t>Contoso Sales</t>
  </si>
  <si>
    <t>Net 45</t>
  </si>
  <si>
    <t>Denver</t>
  </si>
  <si>
    <t>CO</t>
  </si>
  <si>
    <t>CUST005</t>
  </si>
  <si>
    <t>Fabrikam Distribution</t>
  </si>
  <si>
    <t>Phoenix</t>
  </si>
  <si>
    <t>AZ</t>
  </si>
  <si>
    <t>CUST006</t>
  </si>
  <si>
    <t>Blue Ocean Market</t>
  </si>
  <si>
    <t>Atlanta</t>
  </si>
  <si>
    <t>GA</t>
  </si>
  <si>
    <t>CUST007</t>
  </si>
  <si>
    <t>Summit Office</t>
  </si>
  <si>
    <t>Boston</t>
  </si>
  <si>
    <t>MA</t>
  </si>
  <si>
    <t>CUST008</t>
  </si>
  <si>
    <t>Brightline Tech</t>
  </si>
  <si>
    <t>Dallas</t>
  </si>
  <si>
    <t>CUST009</t>
  </si>
  <si>
    <t>Urban Supply</t>
  </si>
  <si>
    <t>Miami</t>
  </si>
  <si>
    <t>FL</t>
  </si>
  <si>
    <t>CUST010</t>
  </si>
  <si>
    <t>Prime Electronics</t>
  </si>
  <si>
    <t>San Jose</t>
  </si>
  <si>
    <t>CA</t>
  </si>
  <si>
    <t>CUST011</t>
  </si>
  <si>
    <t>Vista Wholesale</t>
  </si>
  <si>
    <t>CUST012</t>
  </si>
  <si>
    <t>Central Retailers</t>
  </si>
  <si>
    <t>CUST013</t>
  </si>
  <si>
    <t>Green Valley Stores</t>
  </si>
  <si>
    <t>CUST014</t>
  </si>
  <si>
    <t>Sunrise Commerce</t>
  </si>
  <si>
    <t>CUST015</t>
  </si>
  <si>
    <t>Rapid Resale</t>
  </si>
  <si>
    <t>CUST016</t>
  </si>
  <si>
    <t>Metro Devices</t>
  </si>
  <si>
    <t>CUST017</t>
  </si>
  <si>
    <t>Peak Trading</t>
  </si>
  <si>
    <t>CUST018</t>
  </si>
  <si>
    <t>Silverline Goods</t>
  </si>
  <si>
    <t>CUST019</t>
  </si>
  <si>
    <t>Nova Commerce</t>
  </si>
  <si>
    <t>CUST020</t>
  </si>
  <si>
    <t>Orbit Retail</t>
  </si>
  <si>
    <t>VendorId</t>
  </si>
  <si>
    <t>VendorGroup</t>
  </si>
  <si>
    <t>VEND001</t>
  </si>
  <si>
    <t>Tech Supplier</t>
  </si>
  <si>
    <t>IMPORT</t>
  </si>
  <si>
    <t>VEND002</t>
  </si>
  <si>
    <t>Office Supplies Co</t>
  </si>
  <si>
    <t>SERV</t>
  </si>
  <si>
    <t>Net 60</t>
  </si>
  <si>
    <t>VEND003</t>
  </si>
  <si>
    <t>Global Components</t>
  </si>
  <si>
    <t>VEND004</t>
  </si>
  <si>
    <t>Northstar Hardware</t>
  </si>
  <si>
    <t>VEND005</t>
  </si>
  <si>
    <t>Summit Imports</t>
  </si>
  <si>
    <t>LOCAL</t>
  </si>
  <si>
    <t>VEND006</t>
  </si>
  <si>
    <t>Prime Parts</t>
  </si>
  <si>
    <t>VEND007</t>
  </si>
  <si>
    <t>LogiSource</t>
  </si>
  <si>
    <t>VEND008</t>
  </si>
  <si>
    <t>Alpha Devices</t>
  </si>
  <si>
    <t>VEND009</t>
  </si>
  <si>
    <t>Nexus Distribution</t>
  </si>
  <si>
    <t>VEND010</t>
  </si>
  <si>
    <t>Evergreen Office</t>
  </si>
  <si>
    <t>VEND011</t>
  </si>
  <si>
    <t>Pioneer Systems</t>
  </si>
  <si>
    <t>VEND012</t>
  </si>
  <si>
    <t>Velocity Imports</t>
  </si>
  <si>
    <t>VEND013</t>
  </si>
  <si>
    <t>Reliable Traders</t>
  </si>
  <si>
    <t>VEND014</t>
  </si>
  <si>
    <t>Core Industrial</t>
  </si>
  <si>
    <t>VEND015</t>
  </si>
  <si>
    <t>Apex Sourcing</t>
  </si>
  <si>
    <t>POId</t>
  </si>
  <si>
    <t>OrderDate</t>
  </si>
  <si>
    <t>Qty</t>
  </si>
  <si>
    <t>UnitCost</t>
  </si>
  <si>
    <t>LineAmount</t>
  </si>
  <si>
    <t>ReceiptStatus</t>
  </si>
  <si>
    <t>InvoiceStatus</t>
  </si>
  <si>
    <t>PO0001</t>
  </si>
  <si>
    <t>Received</t>
  </si>
  <si>
    <t>Pending</t>
  </si>
  <si>
    <t>PO0002</t>
  </si>
  <si>
    <t>Partially Received</t>
  </si>
  <si>
    <t>Invoiced</t>
  </si>
  <si>
    <t>PO0003</t>
  </si>
  <si>
    <t>PO0004</t>
  </si>
  <si>
    <t>PO0005</t>
  </si>
  <si>
    <t>Open</t>
  </si>
  <si>
    <t>PO0006</t>
  </si>
  <si>
    <t>PO0007</t>
  </si>
  <si>
    <t>PO0008</t>
  </si>
  <si>
    <t>PO0009</t>
  </si>
  <si>
    <t>PO0010</t>
  </si>
  <si>
    <t>PO0011</t>
  </si>
  <si>
    <t>PO0012</t>
  </si>
  <si>
    <t>PO0013</t>
  </si>
  <si>
    <t>PO0014</t>
  </si>
  <si>
    <t>PO0015</t>
  </si>
  <si>
    <t>PO0016</t>
  </si>
  <si>
    <t>PO0017</t>
  </si>
  <si>
    <t>PO0018</t>
  </si>
  <si>
    <t>PO0019</t>
  </si>
  <si>
    <t>PO0020</t>
  </si>
  <si>
    <t>PO0021</t>
  </si>
  <si>
    <t>PO0022</t>
  </si>
  <si>
    <t>PO0023</t>
  </si>
  <si>
    <t>PO0024</t>
  </si>
  <si>
    <t>PO0025</t>
  </si>
  <si>
    <t>PO0026</t>
  </si>
  <si>
    <t>PO0027</t>
  </si>
  <si>
    <t>PO0028</t>
  </si>
  <si>
    <t>PO0029</t>
  </si>
  <si>
    <t>PO0030</t>
  </si>
  <si>
    <t>PO0031</t>
  </si>
  <si>
    <t>PO0032</t>
  </si>
  <si>
    <t>PO0033</t>
  </si>
  <si>
    <t>PO0034</t>
  </si>
  <si>
    <t>PO0035</t>
  </si>
  <si>
    <t>PO0036</t>
  </si>
  <si>
    <t>PO0037</t>
  </si>
  <si>
    <t>PO0038</t>
  </si>
  <si>
    <t>PO0039</t>
  </si>
  <si>
    <t>PO0040</t>
  </si>
  <si>
    <t>PO0041</t>
  </si>
  <si>
    <t>PO0042</t>
  </si>
  <si>
    <t>PO0043</t>
  </si>
  <si>
    <t>PO0044</t>
  </si>
  <si>
    <t>PO0045</t>
  </si>
  <si>
    <t>SOId</t>
  </si>
  <si>
    <t>UnitPrice</t>
  </si>
  <si>
    <t>ShipmentStatus</t>
  </si>
  <si>
    <t>SO0001</t>
  </si>
  <si>
    <t>Shipped</t>
  </si>
  <si>
    <t>SO0002</t>
  </si>
  <si>
    <t>SO0003</t>
  </si>
  <si>
    <t>Packed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</si>
  <si>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</si>
  <si>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</si>
  <si>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</si>
  <si>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</si>
  <si>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</si>
  <si>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</si>
  <si>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</si>
  <si>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</si>
  <si>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SO0012</t>
  </si>
  <si>
    <t>SO0013</t>
  </si>
  <si>
    <t>SO0014</t>
  </si>
  <si>
    <t>SO0015</t>
  </si>
  <si>
    <t>SO0016</t>
  </si>
  <si>
    <t>SO0017</t>
  </si>
  <si>
    <t>SO0018</t>
  </si>
  <si>
    <t>SO0019</t>
  </si>
  <si>
    <t>SO0020</t>
  </si>
  <si>
    <t>SO0021</t>
  </si>
  <si>
    <t>SO0022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</si>
  <si>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</si>
  <si>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</si>
  <si>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</si>
  <si>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</si>
  <si>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</si>
  <si>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</si>
  <si>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</si>
  <si>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</si>
  <si>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</si>
  <si>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</si>
  <si>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</si>
  <si>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</si>
  <si>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</si>
  <si>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</si>
  <si>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</si>
  <si>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</si>
  <si>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</si>
  <si>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</si>
  <si>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</si>
  <si>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</si>
  <si>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</si>
  <si>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</si>
  <si>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</si>
  <si>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</si>
  <si>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</si>
  <si>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</si>
  <si>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</si>
  <si>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</si>
  <si>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</si>
  <si>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</si>
  <si>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</si>
  <si>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</si>
  <si>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</si>
  <si>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</si>
  <si>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</si>
  <si>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</si>
  <si>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</si>
  <si>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</si>
  <si>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TransferId</t>
  </si>
  <si>
    <t>TransferDate</t>
  </si>
  <si>
    <t>FromWarehouse</t>
  </si>
  <si>
    <t>FromLocation</t>
  </si>
  <si>
    <t>ToWarehouse</t>
  </si>
  <si>
    <t>ToLocation</t>
  </si>
  <si>
    <t>TR0001</t>
  </si>
  <si>
    <t>Transferred</t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</si>
  <si>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</si>
  <si>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</si>
  <si>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</si>
  <si>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</si>
  <si>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</si>
  <si>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</si>
  <si>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</si>
  <si>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</si>
  <si>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</si>
  <si>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</si>
  <si>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</si>
  <si>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</si>
  <si>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</si>
  <si>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</si>
  <si>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</si>
  <si>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</si>
  <si>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</si>
  <si>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</si>
  <si>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</si>
  <si>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</si>
  <si>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</si>
  <si>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</si>
  <si>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</si>
  <si>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</si>
  <si>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JournalId</t>
  </si>
  <si>
    <t>JournalDate</t>
  </si>
  <si>
    <t>Account</t>
  </si>
  <si>
    <t>Description</t>
  </si>
  <si>
    <t>Debit</t>
  </si>
  <si>
    <t>Credit</t>
  </si>
  <si>
    <t>Dimension</t>
  </si>
  <si>
    <t>GL0001</t>
  </si>
  <si>
    <t>610100</t>
  </si>
  <si>
    <t>Office Expense</t>
  </si>
  <si>
    <t>CostCtr-10</t>
  </si>
  <si>
    <t>Posted</t>
  </si>
  <si>
    <t>GL0002</t>
  </si>
  <si>
    <t>400100</t>
  </si>
  <si>
    <t>Product Revenue</t>
  </si>
  <si>
    <t>GL0003</t>
  </si>
  <si>
    <t>120100</t>
  </si>
  <si>
    <t>Accounts Receivable</t>
  </si>
  <si>
    <t>GL0004</t>
  </si>
  <si>
    <t>500100</t>
  </si>
  <si>
    <t>Cost of Goods Sold</t>
  </si>
  <si>
    <t>Dept-200</t>
  </si>
  <si>
    <t>GL0005</t>
  </si>
  <si>
    <t>Dept-300</t>
  </si>
  <si>
    <t>GL0006</t>
  </si>
  <si>
    <t>130100</t>
  </si>
  <si>
    <t>Inventory</t>
  </si>
  <si>
    <t>GL0007</t>
  </si>
  <si>
    <t>GL0008</t>
  </si>
  <si>
    <t>GL0009</t>
  </si>
  <si>
    <t>GL0010</t>
  </si>
  <si>
    <t>220100</t>
  </si>
  <si>
    <t>Sales Tax Payable</t>
  </si>
  <si>
    <t>GL0011</t>
  </si>
  <si>
    <t>GL0012</t>
  </si>
  <si>
    <t>Dept-100</t>
  </si>
  <si>
    <t>GL0013</t>
  </si>
  <si>
    <t>100100</t>
  </si>
  <si>
    <t>Cash</t>
  </si>
  <si>
    <t>GL0014</t>
  </si>
  <si>
    <t>GL0015</t>
  </si>
  <si>
    <t>GL0016</t>
  </si>
  <si>
    <t>GL0017</t>
  </si>
  <si>
    <t>GL0018</t>
  </si>
  <si>
    <t>200100</t>
  </si>
  <si>
    <t>Accounts Payable</t>
  </si>
  <si>
    <t>GL0019</t>
  </si>
  <si>
    <t>GL0020</t>
  </si>
  <si>
    <t>GL0021</t>
  </si>
  <si>
    <t>GL0022</t>
  </si>
  <si>
    <t>GL0023</t>
  </si>
  <si>
    <t>GL0024</t>
  </si>
  <si>
    <t>GL0025</t>
  </si>
  <si>
    <t>GL0026</t>
  </si>
  <si>
    <t>GL0027</t>
  </si>
  <si>
    <t>GL0028</t>
  </si>
  <si>
    <t>GL0029</t>
  </si>
  <si>
    <t>GL0030</t>
  </si>
  <si>
    <t>PaymentId</t>
  </si>
  <si>
    <t>PaymentDate</t>
  </si>
  <si>
    <t>PartyType</t>
  </si>
  <si>
    <t>PartyId</t>
  </si>
  <si>
    <t>ReferenceId</t>
  </si>
  <si>
    <t>PaymentMethod</t>
  </si>
  <si>
    <t>Amount</t>
  </si>
  <si>
    <t>PAYV001</t>
  </si>
  <si>
    <t>Vendor</t>
  </si>
  <si>
    <t>Check</t>
  </si>
  <si>
    <t>PAYV002</t>
  </si>
  <si>
    <t>Wire</t>
  </si>
  <si>
    <t>PAYV003</t>
  </si>
  <si>
    <t>PAYV004</t>
  </si>
  <si>
    <t>PAYV005</t>
  </si>
  <si>
    <t>PAYV006</t>
  </si>
  <si>
    <t>EFT</t>
  </si>
  <si>
    <t>PAYV007</t>
  </si>
  <si>
    <t>PAYV008</t>
  </si>
  <si>
    <t>PAYV009</t>
  </si>
  <si>
    <t>PAYV010</t>
  </si>
  <si>
    <t>PAYC001</t>
  </si>
  <si>
    <t>Customer</t>
  </si>
  <si>
    <t>PAYC002</t>
  </si>
  <si>
    <t>Card</t>
  </si>
  <si>
    <t>PAYC003</t>
  </si>
  <si>
    <t>ACH</t>
  </si>
  <si>
    <t>PAYC004</t>
  </si>
  <si>
    <t>PAYC005</t>
  </si>
  <si>
    <t>PAYC006</t>
  </si>
  <si>
    <t>PAYC007</t>
  </si>
  <si>
    <t>PAYC008</t>
  </si>
  <si>
    <t>PAYC009</t>
  </si>
  <si>
    <t>PAYC010</t>
  </si>
  <si>
    <t>TrackId</t>
  </si>
  <si>
    <t>SourceType</t>
  </si>
  <si>
    <t>SourceId</t>
  </si>
  <si>
    <t>CustomerOrVendor</t>
  </si>
  <si>
    <t>CurrentStatus</t>
  </si>
  <si>
    <t>CreatedDate</t>
  </si>
  <si>
    <t>LastUpdated</t>
  </si>
  <si>
    <t>Owner</t>
  </si>
  <si>
    <t>Priority</t>
  </si>
  <si>
    <t>NextAction</t>
  </si>
  <si>
    <t>TRK0001</t>
  </si>
  <si>
    <t>Purchase</t>
  </si>
  <si>
    <t>Processed</t>
  </si>
  <si>
    <t>Analyst A</t>
  </si>
  <si>
    <t>Medium</t>
  </si>
  <si>
    <t>Validate data</t>
  </si>
  <si>
    <t>TRK0002</t>
  </si>
  <si>
    <t>Sales</t>
  </si>
  <si>
    <t>Analyst B</t>
  </si>
  <si>
    <t>Low</t>
  </si>
  <si>
    <t>Close ticket</t>
  </si>
  <si>
    <t>TRK0003</t>
  </si>
  <si>
    <t>In Review</t>
  </si>
  <si>
    <t>TRK0004</t>
  </si>
  <si>
    <t>Lead E</t>
  </si>
  <si>
    <t>Post invoice</t>
  </si>
  <si>
    <t>TRK0005</t>
  </si>
  <si>
    <t>Consultant C</t>
  </si>
  <si>
    <t>High</t>
  </si>
  <si>
    <t>TRK0006</t>
  </si>
  <si>
    <t>Completed</t>
  </si>
  <si>
    <t>Confirm shipment</t>
  </si>
  <si>
    <t>TRK0007</t>
  </si>
  <si>
    <t>Error</t>
  </si>
  <si>
    <t>Support D</t>
  </si>
  <si>
    <t>TRK0008</t>
  </si>
  <si>
    <t>TRK0009</t>
  </si>
  <si>
    <t>TRK0010</t>
  </si>
  <si>
    <t>TRK0011</t>
  </si>
  <si>
    <t>TRK0012</t>
  </si>
  <si>
    <t>TRK0013</t>
  </si>
  <si>
    <t>Investigate error</t>
  </si>
  <si>
    <t>TRK0014</t>
  </si>
  <si>
    <t>TRK0015</t>
  </si>
  <si>
    <t>TRK0016</t>
  </si>
  <si>
    <t>TRK0017</t>
  </si>
  <si>
    <t>TRK0018</t>
  </si>
  <si>
    <t>TRK0019</t>
  </si>
  <si>
    <t>TRK0020</t>
  </si>
  <si>
    <t>TRK0021</t>
  </si>
  <si>
    <t>TRK0022</t>
  </si>
  <si>
    <t>TRK0023</t>
  </si>
  <si>
    <t>TRK0024</t>
  </si>
  <si>
    <t>TRK0025</t>
  </si>
  <si>
    <t>TRK0026</t>
  </si>
  <si>
    <t>TRK0027</t>
  </si>
  <si>
    <t>TRK0028</t>
  </si>
  <si>
    <t>TRK0029</t>
  </si>
  <si>
    <t>TRK0030</t>
  </si>
  <si>
    <t>ScenarioId</t>
  </si>
  <si>
    <t>Area</t>
  </si>
  <si>
    <t>Title</t>
  </si>
  <si>
    <t>Objective</t>
  </si>
  <si>
    <t>KeySheets</t>
  </si>
  <si>
    <t>SuggestedTask</t>
  </si>
  <si>
    <t>SCN001</t>
  </si>
  <si>
    <t>SCM</t>
  </si>
  <si>
    <t>Procure-to-Pay cycle</t>
  </si>
  <si>
    <t>Create PO, receive goods, invoice vendor</t>
  </si>
  <si>
    <t>Vendors, Products, PurchaseOrders</t>
  </si>
  <si>
    <t>Post one open PO end-to-end</t>
  </si>
  <si>
    <t>SCN002</t>
  </si>
  <si>
    <t>Order-to-Cash cycle</t>
  </si>
  <si>
    <t>Create SO, ship, invoice customer</t>
  </si>
  <si>
    <t>Customers, Products, SalesOrders</t>
  </si>
  <si>
    <t>Complete one open SO</t>
  </si>
  <si>
    <t>SCN003</t>
  </si>
  <si>
    <t>Technical</t>
  </si>
  <si>
    <t>Custom order tracking</t>
  </si>
  <si>
    <t>Extend order tracking and add status logic</t>
  </si>
  <si>
    <t>OrderTracking</t>
  </si>
  <si>
    <t>Add field and status validation</t>
  </si>
  <si>
    <t>SCN004</t>
  </si>
  <si>
    <t>Batch processing</t>
  </si>
  <si>
    <t>Auto-update pending tracked records</t>
  </si>
  <si>
    <t>Create batch job for pending records</t>
  </si>
  <si>
    <t>SCN005</t>
  </si>
  <si>
    <t>Integration</t>
  </si>
  <si>
    <t>Import purchase lines</t>
  </si>
  <si>
    <t>Use PO sheet for entity import</t>
  </si>
  <si>
    <t>PurchaseOrders</t>
  </si>
  <si>
    <t>Import selected PO rows</t>
  </si>
  <si>
    <t>SCN006</t>
  </si>
  <si>
    <t>Import sales lines</t>
  </si>
  <si>
    <t>Use SO sheet for entity import</t>
  </si>
  <si>
    <t>SalesOrders</t>
  </si>
  <si>
    <t>Import selected SO rows</t>
  </si>
  <si>
    <t>SCN007</t>
  </si>
  <si>
    <t>Finance</t>
  </si>
  <si>
    <t>Post expense journal</t>
  </si>
  <si>
    <t>Use GL journal lines</t>
  </si>
  <si>
    <t>GLJournals</t>
  </si>
  <si>
    <t>Post one journal batch</t>
  </si>
  <si>
    <t>SCN008</t>
  </si>
  <si>
    <t>Receive customer payment</t>
  </si>
  <si>
    <t>Apply receipt to open invoice</t>
  </si>
  <si>
    <t>Payments, SalesOrders</t>
  </si>
  <si>
    <t>Post one customer payment</t>
  </si>
  <si>
    <t>SCN009</t>
  </si>
  <si>
    <t>Vendor settlement</t>
  </si>
  <si>
    <t>Apply payment to vendor invoice</t>
  </si>
  <si>
    <t>Payments, PurchaseOrders</t>
  </si>
  <si>
    <t>Post one vendor payment</t>
  </si>
  <si>
    <t>SCN010</t>
  </si>
  <si>
    <t>Inventory transfer</t>
  </si>
  <si>
    <t>Move stock across warehouses</t>
  </si>
  <si>
    <t>InventoryTransfers</t>
  </si>
  <si>
    <t>Post one open transfer</t>
  </si>
  <si>
    <t>SCN011</t>
  </si>
  <si>
    <t>Reconciliation</t>
  </si>
  <si>
    <t>Compare invoice vs payment values</t>
  </si>
  <si>
    <t>Payments, PurchaseOrders, SalesOrders</t>
  </si>
  <si>
    <t>Investigate mismatches</t>
  </si>
  <si>
    <t>SCN012</t>
  </si>
  <si>
    <t>Security simulation</t>
  </si>
  <si>
    <t>Restrict access to tracking form</t>
  </si>
  <si>
    <t>Assign role and test access</t>
  </si>
  <si>
    <t>SCN013</t>
  </si>
  <si>
    <t>Inventory analysis</t>
  </si>
  <si>
    <t>Review movement by item and warehouse</t>
  </si>
  <si>
    <t>Products, InventoryTransfers, SalesOrders</t>
  </si>
  <si>
    <t>Summarize stock movement</t>
  </si>
  <si>
    <t>SCN014</t>
  </si>
  <si>
    <t>Open order review</t>
  </si>
  <si>
    <t>Identify non-invoiced transactions</t>
  </si>
  <si>
    <t>PurchaseOrders, SalesOrders</t>
  </si>
  <si>
    <t>Filter pending invoice lines</t>
  </si>
  <si>
    <t>SCN015</t>
  </si>
  <si>
    <t>Troubleshooting</t>
  </si>
  <si>
    <t>Find and resolve failed statuses</t>
  </si>
  <si>
    <t>Work all Error rows to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</si>
</sst>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"/>
    <numFmt numFmtId="166" formatCode="yyyy\-mm\-dd"/>
    <numFmt numFmtId="167" formatCode="\$#,##0.00;[Red]\(\$#,##0.00\);\-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5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7" fillId="0" borderId="0" xfId="0" applyFont="1"/>
    <xf numFmtId="166" fontId="7" fillId="0" borderId="0" xfId="0" applyNumberFormat="1" applyFont="1"/>
    <xf numFmtId="167" fontId="5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95250</xdr:colOff>
      <xdr:row>49</xdr:row>
      <xdr:rowOff>142875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D60AAB7-B3AF-9AE8-DC94-9C83FC34DF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95250</xdr:colOff>
      <xdr:row>49</xdr:row>
      <xdr:rowOff>142875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7993EF8-77B1-7248-B98A-E63DA89DCD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381000</xdr:colOff>
      <xdr:row>49</xdr:row>
      <xdr:rowOff>104775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DA1209D-B89B-7FEA-ED91-D77D500B8C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381000</xdr:colOff>
      <xdr:row>49</xdr:row>
      <xdr:rowOff>104775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F966D3F-A328-82BA-9E17-D00D4F4618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180975</xdr:colOff>
      <xdr:row>49</xdr:row>
      <xdr:rowOff>104775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63D54C35-19AC-DA48-815F-18AECE22C9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180975</xdr:colOff>
      <xdr:row>49</xdr:row>
      <xdr:rowOff>104775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4FDA1DF-FDA5-E21A-AF0F-1332EA9CBD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447675</xdr:colOff>
      <xdr:row>49</xdr:row>
      <xdr:rowOff>104775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67CF3108-DFBF-355F-0C00-F013DA3441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49</xdr:row>
      <xdr:rowOff>104775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904B166-13E9-27E0-A152-65A733BF9D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cts" displayName="tblProducts" ref="A1:J26">
  <autoFilter ref="A1:J26" xr:uid="{00000000-0009-0000-0100-000001000000}"/>
  <tableColumns count="10">
    <tableColumn id="1" xr3:uid="{00000000-0010-0000-0000-000001000000}" name="ItemId"/>
    <tableColumn id="2" xr3:uid="{00000000-0010-0000-0000-000002000000}" name="Name"/>
    <tableColumn id="3" xr3:uid="{00000000-0010-0000-0000-000003000000}" name="ItemGroup"/>
    <tableColumn id="4" xr3:uid="{00000000-0010-0000-0000-000004000000}" name="ProductType"/>
    <tableColumn id="5" xr3:uid="{00000000-0010-0000-0000-000005000000}" name="CostPrice"/>
    <tableColumn id="6" xr3:uid="{00000000-0010-0000-0000-000006000000}" name="SalesPrice"/>
    <tableColumn id="7" xr3:uid="{00000000-0010-0000-0000-000007000000}" name="Unit"/>
    <tableColumn id="8" xr3:uid="{00000000-0010-0000-0000-000008000000}" name="Site"/>
    <tableColumn id="9" xr3:uid="{00000000-0010-0000-0000-000009000000}" name="Warehouse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entoryStructure" displayName="tblInventoryStructure" ref="A1:G16">
  <autoFilter ref="A1:G16" xr:uid="{00000000-0009-0000-0100-000002000000}"/>
  <tableColumns count="7">
    <tableColumn id="1" xr3:uid="{00000000-0010-0000-0100-000001000000}" name="Site"/>
    <tableColumn id="2" xr3:uid="{00000000-0010-0000-0100-000002000000}" name="Warehouse"/>
    <tableColumn id="3" xr3:uid="{00000000-0010-0000-0100-000003000000}" name="Location"/>
    <tableColumn id="4" xr3:uid="{00000000-0010-0000-0100-000004000000}" name="WarehouseType"/>
    <tableColumn id="5" xr3:uid="{00000000-0010-0000-0100-000005000000}" name="DefaultReceipt"/>
    <tableColumn id="6" xr3:uid="{00000000-0010-0000-0100-000006000000}" name="DefaultIssue"/>
    <tableColumn id="7" xr3:uid="{00000000-0010-0000-0100-000007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ustomers" displayName="tblCustomers" ref="A1:I21">
  <autoFilter ref="A1:I21" xr:uid="{00000000-0009-0000-0100-000003000000}"/>
  <tableColumns count="9">
    <tableColumn id="1" xr3:uid="{00000000-0010-0000-0200-000001000000}" name="CustomerId"/>
    <tableColumn id="2" xr3:uid="{00000000-0010-0000-0200-000002000000}" name="Name"/>
    <tableColumn id="3" xr3:uid="{00000000-0010-0000-0200-000003000000}" name="CustomerGroup"/>
    <tableColumn id="4" xr3:uid="{00000000-0010-0000-0200-000004000000}" name="CreditLimit"/>
    <tableColumn id="5" xr3:uid="{00000000-0010-0000-0200-000005000000}" name="Currency"/>
    <tableColumn id="6" xr3:uid="{00000000-0010-0000-0200-000006000000}" name="PaymentTerms"/>
    <tableColumn id="7" xr3:uid="{00000000-0010-0000-0200-000007000000}" name="City"/>
    <tableColumn id="8" xr3:uid="{00000000-0010-0000-0200-000008000000}" name="State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Vendors" displayName="tblVendors" ref="A1:H16">
  <autoFilter ref="A1:H16" xr:uid="{00000000-0009-0000-0100-000004000000}"/>
  <tableColumns count="8">
    <tableColumn id="1" xr3:uid="{00000000-0010-0000-0300-000001000000}" name="VendorId"/>
    <tableColumn id="2" xr3:uid="{00000000-0010-0000-0300-000002000000}" name="Name"/>
    <tableColumn id="3" xr3:uid="{00000000-0010-0000-0300-000003000000}" name="VendorGroup"/>
    <tableColumn id="4" xr3:uid="{00000000-0010-0000-0300-000004000000}" name="Currency"/>
    <tableColumn id="5" xr3:uid="{00000000-0010-0000-0300-000005000000}" name="PaymentTerms"/>
    <tableColumn id="6" xr3:uid="{00000000-0010-0000-0300-000006000000}" name="City"/>
    <tableColumn id="7" xr3:uid="{00000000-0010-0000-0300-000007000000}" name="State"/>
    <tableColumn id="8" xr3:uid="{00000000-0010-0000-0300-000008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urchaseOrders" displayName="tblPurchaseOrders" ref="A1:J46">
  <autoFilter ref="A1:J46" xr:uid="{00000000-0009-0000-0100-000005000000}"/>
  <tableColumns count="10">
    <tableColumn id="1" xr3:uid="{00000000-0010-0000-0400-000001000000}" name="POId"/>
    <tableColumn id="2" xr3:uid="{00000000-0010-0000-0400-000002000000}" name="OrderDate"/>
    <tableColumn id="3" xr3:uid="{00000000-0010-0000-0400-000003000000}" name="VendorId"/>
    <tableColumn id="4" xr3:uid="{00000000-0010-0000-0400-000004000000}" name="ItemId"/>
    <tableColumn id="5" xr3:uid="{00000000-0010-0000-0400-000005000000}" name="Qty"/>
    <tableColumn id="6" xr3:uid="{00000000-0010-0000-0400-000006000000}" name="UnitCost"/>
    <tableColumn id="7" xr3:uid="{00000000-0010-0000-0400-000007000000}" name="LineAmount"/>
    <tableColumn id="8" xr3:uid="{00000000-0010-0000-0400-000008000000}" name="Warehouse"/>
    <tableColumn id="9" xr3:uid="{00000000-0010-0000-0400-000009000000}" name="ReceiptStatus"/>
    <tableColumn id="10" xr3:uid="{00000000-0010-0000-0400-00000A000000}" name="Invoice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alesOrders" displayName="tblSalesOrders" ref="A1:J61">
  <autoFilter ref="A1:J61" xr:uid="{00000000-0009-0000-0100-000006000000}"/>
  <tableColumns count="10">
    <tableColumn id="1" xr3:uid="{00000000-0010-0000-0500-000001000000}" name="SOId"/>
    <tableColumn id="2" xr3:uid="{00000000-0010-0000-0500-000002000000}" name="OrderDate"/>
    <tableColumn id="3" xr3:uid="{00000000-0010-0000-0500-000003000000}" name="CustomerId"/>
    <tableColumn id="4" xr3:uid="{00000000-0010-0000-0500-000004000000}" name="ItemId"/>
    <tableColumn id="5" xr3:uid="{00000000-0010-0000-0500-000005000000}" name="Qty"/>
    <tableColumn id="6" xr3:uid="{00000000-0010-0000-0500-000006000000}" name="UnitPrice"/>
    <tableColumn id="7" xr3:uid="{00000000-0010-0000-0500-000007000000}" name="LineAmount"/>
    <tableColumn id="8" xr3:uid="{00000000-0010-0000-0500-000008000000}" name="Warehouse"/>
    <tableColumn id="9" xr3:uid="{00000000-0010-0000-0500-000009000000}" name="ShipmentStatus"/>
    <tableColumn id="10" xr3:uid="{00000000-0010-0000-0500-00000A000000}" name="Invoice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Transfers" displayName="tblTransfers" ref="A1:I26">
  <autoFilter ref="A1:I26" xr:uid="{00000000-0009-0000-0100-000007000000}"/>
  <tableColumns count="9">
    <tableColumn id="1" xr3:uid="{00000000-0010-0000-0600-000001000000}" name="TransferId"/>
    <tableColumn id="2" xr3:uid="{00000000-0010-0000-0600-000002000000}" name="TransferDate"/>
    <tableColumn id="3" xr3:uid="{00000000-0010-0000-0600-000003000000}" name="ItemId"/>
    <tableColumn id="4" xr3:uid="{00000000-0010-0000-0600-000004000000}" name="Qty"/>
    <tableColumn id="5" xr3:uid="{00000000-0010-0000-0600-000005000000}" name="FromWarehouse"/>
    <tableColumn id="6" xr3:uid="{00000000-0010-0000-0600-000006000000}" name="FromLocation"/>
    <tableColumn id="7" xr3:uid="{00000000-0010-0000-0600-000007000000}" name="ToWarehouse"/>
    <tableColumn id="8" xr3:uid="{00000000-0010-0000-0600-000008000000}" name="ToLocation"/>
    <tableColumn id="9" xr3:uid="{00000000-0010-0000-0600-000009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GLJournals" displayName="tblGLJournals" ref="A1:H31">
  <autoFilter ref="A1:H31" xr:uid="{00000000-0009-0000-0100-000008000000}"/>
  <tableColumns count="8">
    <tableColumn id="1" xr3:uid="{00000000-0010-0000-0700-000001000000}" name="JournalId"/>
    <tableColumn id="2" xr3:uid="{00000000-0010-0000-0700-000002000000}" name="JournalDate"/>
    <tableColumn id="3" xr3:uid="{00000000-0010-0000-0700-000003000000}" name="Account"/>
    <tableColumn id="4" xr3:uid="{00000000-0010-0000-0700-000004000000}" name="Description"/>
    <tableColumn id="5" xr3:uid="{00000000-0010-0000-0700-000005000000}" name="Debit"/>
    <tableColumn id="6" xr3:uid="{00000000-0010-0000-0700-000006000000}" name="Credit"/>
    <tableColumn id="7" xr3:uid="{00000000-0010-0000-0700-000007000000}" name="Dimension"/>
    <tableColumn id="8" xr3:uid="{00000000-0010-0000-0700-000008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Payments" displayName="tblPayments" ref="A1:I21">
  <autoFilter ref="A1:I21" xr:uid="{00000000-0009-0000-0100-000009000000}"/>
  <tableColumns count="9">
    <tableColumn id="1" xr3:uid="{00000000-0010-0000-0800-000001000000}" name="PaymentId"/>
    <tableColumn id="2" xr3:uid="{00000000-0010-0000-0800-000002000000}" name="PaymentDate"/>
    <tableColumn id="3" xr3:uid="{00000000-0010-0000-0800-000003000000}" name="PartyType"/>
    <tableColumn id="4" xr3:uid="{00000000-0010-0000-0800-000004000000}" name="PartyId"/>
    <tableColumn id="5" xr3:uid="{00000000-0010-0000-0800-000005000000}" name="ReferenceId"/>
    <tableColumn id="6" xr3:uid="{00000000-0010-0000-0800-000006000000}" name="PaymentMethod"/>
    <tableColumn id="7" xr3:uid="{00000000-0010-0000-0800-000007000000}" name="Amount"/>
    <tableColumn id="8" xr3:uid="{00000000-0010-0000-0800-000008000000}" name="Currency"/>
    <tableColumn id="9" xr3:uid="{00000000-0010-0000-0800-000009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OrderTracking" displayName="tblOrderTracking" ref="A1:K31">
  <autoFilter ref="A1:K31" xr:uid="{00000000-0009-0000-0100-00000A000000}"/>
  <tableColumns count="11">
    <tableColumn id="1" xr3:uid="{00000000-0010-0000-0900-000001000000}" name="TrackId"/>
    <tableColumn id="2" xr3:uid="{00000000-0010-0000-0900-000002000000}" name="SourceType"/>
    <tableColumn id="3" xr3:uid="{00000000-0010-0000-0900-000003000000}" name="SourceId"/>
    <tableColumn id="4" xr3:uid="{00000000-0010-0000-0900-000004000000}" name="CustomerOrVendor"/>
    <tableColumn id="5" xr3:uid="{00000000-0010-0000-0900-000005000000}" name="ItemId"/>
    <tableColumn id="6" xr3:uid="{00000000-0010-0000-0900-000006000000}" name="CurrentStatus"/>
    <tableColumn id="7" xr3:uid="{00000000-0010-0000-0900-000007000000}" name="CreatedDate"/>
    <tableColumn id="8" xr3:uid="{00000000-0010-0000-0900-000008000000}" name="LastUpdated"/>
    <tableColumn id="9" xr3:uid="{00000000-0010-0000-0900-000009000000}" name="Owner"/>
    <tableColumn id="10" xr3:uid="{00000000-0010-0000-0900-00000A000000}" name="Priority"/>
    <tableColumn id="11" xr3:uid="{00000000-0010-0000-0900-00000B000000}" name="NextA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Scenarios" displayName="tblScenarios" ref="A1:F16">
  <autoFilter ref="A1:F16" xr:uid="{00000000-0009-0000-0100-00000B000000}"/>
  <tableColumns count="6">
    <tableColumn id="1" xr3:uid="{00000000-0010-0000-0A00-000001000000}" name="ScenarioId"/>
    <tableColumn id="2" xr3:uid="{00000000-0010-0000-0A00-000002000000}" name="Area"/>
    <tableColumn id="3" xr3:uid="{00000000-0010-0000-0A00-000003000000}" name="Title"/>
    <tableColumn id="4" xr3:uid="{00000000-0010-0000-0A00-000004000000}" name="Objective"/>
    <tableColumn id="5" xr3:uid="{00000000-0010-0000-0A00-000005000000}" name="KeySheets"/>
    <tableColumn id="6" xr3:uid="{00000000-0010-0000-0A00-000006000000}" name="SuggestedT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3" sqref="C3"/>
    </sheetView>
  </sheetViews>
  <sheetFormatPr defaultRowHeight="15" x14ac:dyDescent="0.25"/>
  <cols>
    <col min="1" max="1" width="14.7109375" bestFit="1" customWidth="1"/>
    <col min="2" max="2" width="131.42578125" bestFit="1" customWidth="1"/>
  </cols>
  <sheetData>
    <row r="1" spans="1:2" ht="18.75" x14ac:dyDescent="0.3">
      <c r="A1" s="13" t="s">
        <v>0</v>
      </c>
      <c r="B1" s="13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K3" sqref="K3"/>
    </sheetView>
  </sheetViews>
  <sheetFormatPr defaultRowHeight="15" x14ac:dyDescent="0.25"/>
  <cols>
    <col min="1" max="1" width="11.42578125" bestFit="1" customWidth="1"/>
    <col min="2" max="2" width="18" bestFit="1" customWidth="1"/>
    <col min="3" max="3" width="15.28515625" bestFit="1" customWidth="1"/>
    <col min="4" max="4" width="16.7109375" bestFit="1" customWidth="1"/>
    <col min="5" max="5" width="13.85546875" bestFit="1" customWidth="1"/>
    <col min="6" max="6" width="14.5703125" bestFit="1" customWidth="1"/>
    <col min="7" max="7" width="9.42578125" bestFit="1" customWidth="1"/>
    <col min="8" max="8" width="9" bestFit="1" customWidth="1"/>
    <col min="9" max="9" width="15.85546875" bestFit="1" customWidth="1"/>
    <col min="10" max="10" width="11" bestFit="1" customWidth="1"/>
  </cols>
  <sheetData>
    <row r="1" spans="1:10" ht="21.95" customHeigh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3" t="s">
        <v>22</v>
      </c>
      <c r="B2" s="3" t="s">
        <v>23</v>
      </c>
      <c r="C2" s="3" t="s">
        <v>24</v>
      </c>
      <c r="D2" s="3" t="s">
        <v>25</v>
      </c>
      <c r="E2" s="4">
        <v>500</v>
      </c>
      <c r="F2" s="4">
        <v>650.04999999999995</v>
      </c>
      <c r="G2" s="3" t="s">
        <v>26</v>
      </c>
      <c r="H2" s="3" t="s">
        <v>27</v>
      </c>
      <c r="I2" s="3" t="s">
        <v>28</v>
      </c>
      <c r="J2" s="3" t="s">
        <v>29</v>
      </c>
    </row>
    <row r="3" spans="1:10" x14ac:dyDescent="0.25">
      <c r="A3" s="3" t="s">
        <v>30</v>
      </c>
      <c r="B3" s="3" t="s">
        <v>31</v>
      </c>
      <c r="C3" s="3" t="s">
        <v>32</v>
      </c>
      <c r="D3" s="3" t="s">
        <v>25</v>
      </c>
      <c r="E3" s="4">
        <v>45</v>
      </c>
      <c r="F3" s="4">
        <v>59.08</v>
      </c>
      <c r="G3" s="3" t="s">
        <v>33</v>
      </c>
      <c r="H3" s="3" t="s">
        <v>27</v>
      </c>
      <c r="I3" s="3" t="s">
        <v>34</v>
      </c>
      <c r="J3" s="3" t="s">
        <v>29</v>
      </c>
    </row>
    <row r="4" spans="1:10" x14ac:dyDescent="0.25">
      <c r="A4" s="3" t="s">
        <v>35</v>
      </c>
      <c r="B4" s="3" t="s">
        <v>36</v>
      </c>
      <c r="C4" s="3" t="s">
        <v>32</v>
      </c>
      <c r="D4" s="3" t="s">
        <v>25</v>
      </c>
      <c r="E4" s="4">
        <v>120</v>
      </c>
      <c r="F4" s="4">
        <v>151.72</v>
      </c>
      <c r="G4" s="3" t="s">
        <v>33</v>
      </c>
      <c r="H4" s="3" t="s">
        <v>27</v>
      </c>
      <c r="I4" s="3" t="s">
        <v>28</v>
      </c>
      <c r="J4" s="3" t="s">
        <v>29</v>
      </c>
    </row>
    <row r="5" spans="1:10" x14ac:dyDescent="0.25">
      <c r="A5" s="3" t="s">
        <v>37</v>
      </c>
      <c r="B5" s="3" t="s">
        <v>38</v>
      </c>
      <c r="C5" s="3" t="s">
        <v>24</v>
      </c>
      <c r="D5" s="3" t="s">
        <v>25</v>
      </c>
      <c r="E5" s="4">
        <v>250</v>
      </c>
      <c r="F5" s="4">
        <v>380.23</v>
      </c>
      <c r="G5" s="3" t="s">
        <v>33</v>
      </c>
      <c r="H5" s="3" t="s">
        <v>27</v>
      </c>
      <c r="I5" s="3" t="s">
        <v>34</v>
      </c>
      <c r="J5" s="3" t="s">
        <v>29</v>
      </c>
    </row>
    <row r="6" spans="1:10" x14ac:dyDescent="0.25">
      <c r="A6" s="3" t="s">
        <v>39</v>
      </c>
      <c r="B6" s="3" t="s">
        <v>40</v>
      </c>
      <c r="C6" s="3" t="s">
        <v>41</v>
      </c>
      <c r="D6" s="3" t="s">
        <v>25</v>
      </c>
      <c r="E6" s="4">
        <v>500</v>
      </c>
      <c r="F6" s="4">
        <v>782.8</v>
      </c>
      <c r="G6" s="3" t="s">
        <v>33</v>
      </c>
      <c r="H6" s="3" t="s">
        <v>27</v>
      </c>
      <c r="I6" s="3" t="s">
        <v>42</v>
      </c>
      <c r="J6" s="3" t="s">
        <v>29</v>
      </c>
    </row>
    <row r="7" spans="1:10" x14ac:dyDescent="0.25">
      <c r="A7" s="3" t="s">
        <v>43</v>
      </c>
      <c r="B7" s="3" t="s">
        <v>44</v>
      </c>
      <c r="C7" s="3" t="s">
        <v>32</v>
      </c>
      <c r="D7" s="3" t="s">
        <v>25</v>
      </c>
      <c r="E7" s="4">
        <v>320</v>
      </c>
      <c r="F7" s="4">
        <v>440.06</v>
      </c>
      <c r="G7" s="3" t="s">
        <v>33</v>
      </c>
      <c r="H7" s="3" t="s">
        <v>27</v>
      </c>
      <c r="I7" s="3" t="s">
        <v>34</v>
      </c>
      <c r="J7" s="3" t="s">
        <v>29</v>
      </c>
    </row>
    <row r="8" spans="1:10" x14ac:dyDescent="0.25">
      <c r="A8" s="3" t="s">
        <v>45</v>
      </c>
      <c r="B8" s="3" t="s">
        <v>46</v>
      </c>
      <c r="C8" s="3" t="s">
        <v>32</v>
      </c>
      <c r="D8" s="3" t="s">
        <v>25</v>
      </c>
      <c r="E8" s="4">
        <v>120</v>
      </c>
      <c r="F8" s="4">
        <v>168.37</v>
      </c>
      <c r="G8" s="3" t="s">
        <v>33</v>
      </c>
      <c r="H8" s="3" t="s">
        <v>27</v>
      </c>
      <c r="I8" s="3" t="s">
        <v>42</v>
      </c>
      <c r="J8" s="3" t="s">
        <v>29</v>
      </c>
    </row>
    <row r="9" spans="1:10" x14ac:dyDescent="0.25">
      <c r="A9" s="3" t="s">
        <v>47</v>
      </c>
      <c r="B9" s="3" t="s">
        <v>48</v>
      </c>
      <c r="C9" s="3" t="s">
        <v>32</v>
      </c>
      <c r="D9" s="3" t="s">
        <v>25</v>
      </c>
      <c r="E9" s="4">
        <v>20</v>
      </c>
      <c r="F9" s="4">
        <v>25.83</v>
      </c>
      <c r="G9" s="3" t="s">
        <v>26</v>
      </c>
      <c r="H9" s="3" t="s">
        <v>27</v>
      </c>
      <c r="I9" s="3" t="s">
        <v>42</v>
      </c>
      <c r="J9" s="3" t="s">
        <v>29</v>
      </c>
    </row>
    <row r="10" spans="1:10" x14ac:dyDescent="0.25">
      <c r="A10" s="3" t="s">
        <v>49</v>
      </c>
      <c r="B10" s="3" t="s">
        <v>50</v>
      </c>
      <c r="C10" s="3" t="s">
        <v>32</v>
      </c>
      <c r="D10" s="3" t="s">
        <v>25</v>
      </c>
      <c r="E10" s="4">
        <v>320</v>
      </c>
      <c r="F10" s="4">
        <v>438.09</v>
      </c>
      <c r="G10" s="3" t="s">
        <v>26</v>
      </c>
      <c r="H10" s="3" t="s">
        <v>27</v>
      </c>
      <c r="I10" s="3" t="s">
        <v>34</v>
      </c>
      <c r="J10" s="3" t="s">
        <v>29</v>
      </c>
    </row>
    <row r="11" spans="1:10" x14ac:dyDescent="0.25">
      <c r="A11" s="3" t="s">
        <v>51</v>
      </c>
      <c r="B11" s="3" t="s">
        <v>52</v>
      </c>
      <c r="C11" s="3" t="s">
        <v>41</v>
      </c>
      <c r="D11" s="3" t="s">
        <v>25</v>
      </c>
      <c r="E11" s="4">
        <v>20</v>
      </c>
      <c r="F11" s="4">
        <v>33.76</v>
      </c>
      <c r="G11" s="3" t="s">
        <v>33</v>
      </c>
      <c r="H11" s="3" t="s">
        <v>27</v>
      </c>
      <c r="I11" s="3" t="s">
        <v>34</v>
      </c>
      <c r="J11" s="3" t="s">
        <v>29</v>
      </c>
    </row>
    <row r="12" spans="1:10" x14ac:dyDescent="0.25">
      <c r="A12" s="3" t="s">
        <v>53</v>
      </c>
      <c r="B12" s="3" t="s">
        <v>54</v>
      </c>
      <c r="C12" s="3" t="s">
        <v>24</v>
      </c>
      <c r="D12" s="3" t="s">
        <v>25</v>
      </c>
      <c r="E12" s="4">
        <v>60</v>
      </c>
      <c r="F12" s="4">
        <v>97.39</v>
      </c>
      <c r="G12" s="3" t="s">
        <v>26</v>
      </c>
      <c r="H12" s="3" t="s">
        <v>27</v>
      </c>
      <c r="I12" s="3" t="s">
        <v>34</v>
      </c>
      <c r="J12" s="3" t="s">
        <v>29</v>
      </c>
    </row>
    <row r="13" spans="1:10" x14ac:dyDescent="0.25">
      <c r="A13" s="3" t="s">
        <v>55</v>
      </c>
      <c r="B13" s="3" t="s">
        <v>56</v>
      </c>
      <c r="C13" s="3" t="s">
        <v>32</v>
      </c>
      <c r="D13" s="3" t="s">
        <v>25</v>
      </c>
      <c r="E13" s="4">
        <v>45</v>
      </c>
      <c r="F13" s="4">
        <v>70.52</v>
      </c>
      <c r="G13" s="3" t="s">
        <v>33</v>
      </c>
      <c r="H13" s="3" t="s">
        <v>27</v>
      </c>
      <c r="I13" s="3" t="s">
        <v>42</v>
      </c>
      <c r="J13" s="3" t="s">
        <v>29</v>
      </c>
    </row>
    <row r="14" spans="1:10" x14ac:dyDescent="0.25">
      <c r="A14" s="3" t="s">
        <v>57</v>
      </c>
      <c r="B14" s="3" t="s">
        <v>58</v>
      </c>
      <c r="C14" s="3" t="s">
        <v>32</v>
      </c>
      <c r="D14" s="3" t="s">
        <v>25</v>
      </c>
      <c r="E14" s="4">
        <v>20</v>
      </c>
      <c r="F14" s="4">
        <v>32.700000000000003</v>
      </c>
      <c r="G14" s="3" t="s">
        <v>26</v>
      </c>
      <c r="H14" s="3" t="s">
        <v>27</v>
      </c>
      <c r="I14" s="3" t="s">
        <v>42</v>
      </c>
      <c r="J14" s="3" t="s">
        <v>29</v>
      </c>
    </row>
    <row r="15" spans="1:10" x14ac:dyDescent="0.25">
      <c r="A15" s="3" t="s">
        <v>59</v>
      </c>
      <c r="B15" s="3" t="s">
        <v>60</v>
      </c>
      <c r="C15" s="3" t="s">
        <v>41</v>
      </c>
      <c r="D15" s="3" t="s">
        <v>25</v>
      </c>
      <c r="E15" s="4">
        <v>180</v>
      </c>
      <c r="F15" s="4">
        <v>276.49</v>
      </c>
      <c r="G15" s="3" t="s">
        <v>33</v>
      </c>
      <c r="H15" s="3" t="s">
        <v>27</v>
      </c>
      <c r="I15" s="3" t="s">
        <v>42</v>
      </c>
      <c r="J15" s="3" t="s">
        <v>29</v>
      </c>
    </row>
    <row r="16" spans="1:10" x14ac:dyDescent="0.25">
      <c r="A16" s="3" t="s">
        <v>61</v>
      </c>
      <c r="B16" s="3" t="s">
        <v>62</v>
      </c>
      <c r="C16" s="3" t="s">
        <v>41</v>
      </c>
      <c r="D16" s="3" t="s">
        <v>25</v>
      </c>
      <c r="E16" s="4">
        <v>85</v>
      </c>
      <c r="F16" s="4">
        <v>114.26</v>
      </c>
      <c r="G16" s="3" t="s">
        <v>33</v>
      </c>
      <c r="H16" s="3" t="s">
        <v>27</v>
      </c>
      <c r="I16" s="3" t="s">
        <v>34</v>
      </c>
      <c r="J16" s="3" t="s">
        <v>29</v>
      </c>
    </row>
    <row r="17" spans="1:10" x14ac:dyDescent="0.25">
      <c r="A17" s="3" t="s">
        <v>63</v>
      </c>
      <c r="B17" s="3" t="s">
        <v>64</v>
      </c>
      <c r="C17" s="3" t="s">
        <v>24</v>
      </c>
      <c r="D17" s="3" t="s">
        <v>25</v>
      </c>
      <c r="E17" s="4">
        <v>500</v>
      </c>
      <c r="F17" s="4">
        <v>663.51</v>
      </c>
      <c r="G17" s="3" t="s">
        <v>33</v>
      </c>
      <c r="H17" s="3" t="s">
        <v>27</v>
      </c>
      <c r="I17" s="3" t="s">
        <v>28</v>
      </c>
      <c r="J17" s="3" t="s">
        <v>29</v>
      </c>
    </row>
    <row r="18" spans="1:10" x14ac:dyDescent="0.25">
      <c r="A18" s="3" t="s">
        <v>65</v>
      </c>
      <c r="B18" s="3" t="s">
        <v>66</v>
      </c>
      <c r="C18" s="3" t="s">
        <v>24</v>
      </c>
      <c r="D18" s="3" t="s">
        <v>25</v>
      </c>
      <c r="E18" s="4">
        <v>180</v>
      </c>
      <c r="F18" s="4">
        <v>255.74</v>
      </c>
      <c r="G18" s="3" t="s">
        <v>33</v>
      </c>
      <c r="H18" s="3" t="s">
        <v>27</v>
      </c>
      <c r="I18" s="3" t="s">
        <v>34</v>
      </c>
      <c r="J18" s="3" t="s">
        <v>29</v>
      </c>
    </row>
    <row r="19" spans="1:10" x14ac:dyDescent="0.25">
      <c r="A19" s="3" t="s">
        <v>67</v>
      </c>
      <c r="B19" s="3" t="s">
        <v>68</v>
      </c>
      <c r="C19" s="3" t="s">
        <v>32</v>
      </c>
      <c r="D19" s="3" t="s">
        <v>25</v>
      </c>
      <c r="E19" s="4">
        <v>85</v>
      </c>
      <c r="F19" s="4">
        <v>138.49</v>
      </c>
      <c r="G19" s="3" t="s">
        <v>33</v>
      </c>
      <c r="H19" s="3" t="s">
        <v>27</v>
      </c>
      <c r="I19" s="3" t="s">
        <v>28</v>
      </c>
      <c r="J19" s="3" t="s">
        <v>29</v>
      </c>
    </row>
    <row r="20" spans="1:10" x14ac:dyDescent="0.25">
      <c r="A20" s="3" t="s">
        <v>69</v>
      </c>
      <c r="B20" s="3" t="s">
        <v>70</v>
      </c>
      <c r="C20" s="3" t="s">
        <v>41</v>
      </c>
      <c r="D20" s="3" t="s">
        <v>25</v>
      </c>
      <c r="E20" s="4">
        <v>900</v>
      </c>
      <c r="F20" s="4">
        <v>1252.76</v>
      </c>
      <c r="G20" s="3" t="s">
        <v>33</v>
      </c>
      <c r="H20" s="3" t="s">
        <v>27</v>
      </c>
      <c r="I20" s="3" t="s">
        <v>28</v>
      </c>
      <c r="J20" s="3" t="s">
        <v>29</v>
      </c>
    </row>
    <row r="21" spans="1:10" x14ac:dyDescent="0.25">
      <c r="A21" s="3" t="s">
        <v>71</v>
      </c>
      <c r="B21" s="3" t="s">
        <v>72</v>
      </c>
      <c r="C21" s="3" t="s">
        <v>41</v>
      </c>
      <c r="D21" s="3" t="s">
        <v>25</v>
      </c>
      <c r="E21" s="4">
        <v>320</v>
      </c>
      <c r="F21" s="4">
        <v>526.20000000000005</v>
      </c>
      <c r="G21" s="3" t="s">
        <v>33</v>
      </c>
      <c r="H21" s="3" t="s">
        <v>27</v>
      </c>
      <c r="I21" s="3" t="s">
        <v>34</v>
      </c>
      <c r="J21" s="3" t="s">
        <v>29</v>
      </c>
    </row>
    <row r="22" spans="1:10" x14ac:dyDescent="0.25">
      <c r="A22" s="3" t="s">
        <v>73</v>
      </c>
      <c r="B22" s="3" t="s">
        <v>74</v>
      </c>
      <c r="C22" s="3" t="s">
        <v>24</v>
      </c>
      <c r="D22" s="3" t="s">
        <v>25</v>
      </c>
      <c r="E22" s="4">
        <v>180</v>
      </c>
      <c r="F22" s="4">
        <v>257.05</v>
      </c>
      <c r="G22" s="3" t="s">
        <v>26</v>
      </c>
      <c r="H22" s="3" t="s">
        <v>27</v>
      </c>
      <c r="I22" s="3" t="s">
        <v>28</v>
      </c>
      <c r="J22" s="3" t="s">
        <v>29</v>
      </c>
    </row>
    <row r="23" spans="1:10" x14ac:dyDescent="0.25">
      <c r="A23" s="3" t="s">
        <v>75</v>
      </c>
      <c r="B23" s="3" t="s">
        <v>76</v>
      </c>
      <c r="C23" s="3" t="s">
        <v>24</v>
      </c>
      <c r="D23" s="3" t="s">
        <v>25</v>
      </c>
      <c r="E23" s="4">
        <v>60</v>
      </c>
      <c r="F23" s="4">
        <v>78.77</v>
      </c>
      <c r="G23" s="3" t="s">
        <v>26</v>
      </c>
      <c r="H23" s="3" t="s">
        <v>27</v>
      </c>
      <c r="I23" s="3" t="s">
        <v>34</v>
      </c>
      <c r="J23" s="3" t="s">
        <v>29</v>
      </c>
    </row>
    <row r="24" spans="1:10" x14ac:dyDescent="0.25">
      <c r="A24" s="3" t="s">
        <v>77</v>
      </c>
      <c r="B24" s="3" t="s">
        <v>78</v>
      </c>
      <c r="C24" s="3" t="s">
        <v>24</v>
      </c>
      <c r="D24" s="3" t="s">
        <v>25</v>
      </c>
      <c r="E24" s="4">
        <v>320</v>
      </c>
      <c r="F24" s="4">
        <v>461.69</v>
      </c>
      <c r="G24" s="3" t="s">
        <v>26</v>
      </c>
      <c r="H24" s="3" t="s">
        <v>27</v>
      </c>
      <c r="I24" s="3" t="s">
        <v>42</v>
      </c>
      <c r="J24" s="3" t="s">
        <v>29</v>
      </c>
    </row>
    <row r="25" spans="1:10" x14ac:dyDescent="0.25">
      <c r="A25" s="3" t="s">
        <v>79</v>
      </c>
      <c r="B25" s="3" t="s">
        <v>80</v>
      </c>
      <c r="C25" s="3" t="s">
        <v>32</v>
      </c>
      <c r="D25" s="3" t="s">
        <v>25</v>
      </c>
      <c r="E25" s="4">
        <v>45</v>
      </c>
      <c r="F25" s="4">
        <v>76.45</v>
      </c>
      <c r="G25" s="3" t="s">
        <v>26</v>
      </c>
      <c r="H25" s="3" t="s">
        <v>27</v>
      </c>
      <c r="I25" s="3" t="s">
        <v>28</v>
      </c>
      <c r="J25" s="3" t="s">
        <v>29</v>
      </c>
    </row>
    <row r="26" spans="1:10" x14ac:dyDescent="0.25">
      <c r="A26" s="3" t="s">
        <v>81</v>
      </c>
      <c r="B26" s="3" t="s">
        <v>82</v>
      </c>
      <c r="C26" s="3" t="s">
        <v>32</v>
      </c>
      <c r="D26" s="3" t="s">
        <v>25</v>
      </c>
      <c r="E26" s="4">
        <v>900</v>
      </c>
      <c r="F26" s="4">
        <v>1144.08</v>
      </c>
      <c r="G26" s="3" t="s">
        <v>33</v>
      </c>
      <c r="H26" s="3" t="s">
        <v>27</v>
      </c>
      <c r="I26" s="3" t="s">
        <v>34</v>
      </c>
      <c r="J26" s="3" t="s">
        <v>29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H2" sqref="H2"/>
    </sheetView>
  </sheetViews>
  <sheetFormatPr defaultRowHeight="15" x14ac:dyDescent="0.25"/>
  <cols>
    <col min="1" max="1" width="9" bestFit="1" customWidth="1"/>
    <col min="2" max="2" width="15.85546875" bestFit="1" customWidth="1"/>
    <col min="3" max="3" width="13" bestFit="1" customWidth="1"/>
    <col min="4" max="4" width="20.28515625" bestFit="1" customWidth="1"/>
    <col min="5" max="5" width="19" bestFit="1" customWidth="1"/>
    <col min="6" max="6" width="16.7109375" bestFit="1" customWidth="1"/>
    <col min="7" max="7" width="11" bestFit="1" customWidth="1"/>
  </cols>
  <sheetData>
    <row r="1" spans="1:7" ht="21.95" customHeight="1" x14ac:dyDescent="0.25">
      <c r="A1" s="2" t="s">
        <v>19</v>
      </c>
      <c r="B1" s="2" t="s">
        <v>20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21</v>
      </c>
    </row>
    <row r="2" spans="1:7" x14ac:dyDescent="0.25">
      <c r="A2" s="3" t="s">
        <v>27</v>
      </c>
      <c r="B2" s="3" t="s">
        <v>28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29</v>
      </c>
    </row>
    <row r="3" spans="1:7" x14ac:dyDescent="0.25">
      <c r="A3" s="3" t="s">
        <v>27</v>
      </c>
      <c r="B3" s="3" t="s">
        <v>28</v>
      </c>
      <c r="C3" s="3" t="s">
        <v>91</v>
      </c>
      <c r="D3" s="3" t="s">
        <v>92</v>
      </c>
      <c r="E3" s="3" t="s">
        <v>90</v>
      </c>
      <c r="F3" s="3" t="s">
        <v>89</v>
      </c>
      <c r="G3" s="3" t="s">
        <v>29</v>
      </c>
    </row>
    <row r="4" spans="1:7" x14ac:dyDescent="0.25">
      <c r="A4" s="3" t="s">
        <v>27</v>
      </c>
      <c r="B4" s="3" t="s">
        <v>28</v>
      </c>
      <c r="C4" s="3" t="s">
        <v>93</v>
      </c>
      <c r="D4" s="3" t="s">
        <v>94</v>
      </c>
      <c r="E4" s="3" t="s">
        <v>90</v>
      </c>
      <c r="F4" s="3" t="s">
        <v>90</v>
      </c>
      <c r="G4" s="3" t="s">
        <v>29</v>
      </c>
    </row>
    <row r="5" spans="1:7" x14ac:dyDescent="0.25">
      <c r="A5" s="3" t="s">
        <v>27</v>
      </c>
      <c r="B5" s="3" t="s">
        <v>28</v>
      </c>
      <c r="C5" s="3" t="s">
        <v>95</v>
      </c>
      <c r="D5" s="3" t="s">
        <v>92</v>
      </c>
      <c r="E5" s="3" t="s">
        <v>90</v>
      </c>
      <c r="F5" s="3" t="s">
        <v>90</v>
      </c>
      <c r="G5" s="3" t="s">
        <v>29</v>
      </c>
    </row>
    <row r="6" spans="1:7" x14ac:dyDescent="0.25">
      <c r="A6" s="3" t="s">
        <v>27</v>
      </c>
      <c r="B6" s="3" t="s">
        <v>28</v>
      </c>
      <c r="C6" s="3" t="s">
        <v>96</v>
      </c>
      <c r="D6" s="3" t="s">
        <v>88</v>
      </c>
      <c r="E6" s="3" t="s">
        <v>90</v>
      </c>
      <c r="F6" s="3" t="s">
        <v>90</v>
      </c>
      <c r="G6" s="3" t="s">
        <v>29</v>
      </c>
    </row>
    <row r="7" spans="1:7" x14ac:dyDescent="0.25">
      <c r="A7" s="3" t="s">
        <v>27</v>
      </c>
      <c r="B7" s="3" t="s">
        <v>42</v>
      </c>
      <c r="C7" s="3" t="s">
        <v>97</v>
      </c>
      <c r="D7" s="3" t="s">
        <v>94</v>
      </c>
      <c r="E7" s="3" t="s">
        <v>89</v>
      </c>
      <c r="F7" s="3" t="s">
        <v>90</v>
      </c>
      <c r="G7" s="3" t="s">
        <v>29</v>
      </c>
    </row>
    <row r="8" spans="1:7" x14ac:dyDescent="0.25">
      <c r="A8" s="3" t="s">
        <v>27</v>
      </c>
      <c r="B8" s="3" t="s">
        <v>42</v>
      </c>
      <c r="C8" s="3" t="s">
        <v>98</v>
      </c>
      <c r="D8" s="3" t="s">
        <v>94</v>
      </c>
      <c r="E8" s="3" t="s">
        <v>90</v>
      </c>
      <c r="F8" s="3" t="s">
        <v>89</v>
      </c>
      <c r="G8" s="3" t="s">
        <v>29</v>
      </c>
    </row>
    <row r="9" spans="1:7" x14ac:dyDescent="0.25">
      <c r="A9" s="3" t="s">
        <v>27</v>
      </c>
      <c r="B9" s="3" t="s">
        <v>42</v>
      </c>
      <c r="C9" s="3" t="s">
        <v>99</v>
      </c>
      <c r="D9" s="3" t="s">
        <v>92</v>
      </c>
      <c r="E9" s="3" t="s">
        <v>90</v>
      </c>
      <c r="F9" s="3" t="s">
        <v>90</v>
      </c>
      <c r="G9" s="3" t="s">
        <v>29</v>
      </c>
    </row>
    <row r="10" spans="1:7" x14ac:dyDescent="0.25">
      <c r="A10" s="3" t="s">
        <v>27</v>
      </c>
      <c r="B10" s="3" t="s">
        <v>42</v>
      </c>
      <c r="C10" s="3" t="s">
        <v>100</v>
      </c>
      <c r="D10" s="3" t="s">
        <v>94</v>
      </c>
      <c r="E10" s="3" t="s">
        <v>90</v>
      </c>
      <c r="F10" s="3" t="s">
        <v>90</v>
      </c>
      <c r="G10" s="3" t="s">
        <v>29</v>
      </c>
    </row>
    <row r="11" spans="1:7" x14ac:dyDescent="0.25">
      <c r="A11" s="3" t="s">
        <v>27</v>
      </c>
      <c r="B11" s="3" t="s">
        <v>42</v>
      </c>
      <c r="C11" s="3" t="s">
        <v>101</v>
      </c>
      <c r="D11" s="3" t="s">
        <v>92</v>
      </c>
      <c r="E11" s="3" t="s">
        <v>90</v>
      </c>
      <c r="F11" s="3" t="s">
        <v>90</v>
      </c>
      <c r="G11" s="3" t="s">
        <v>29</v>
      </c>
    </row>
    <row r="12" spans="1:7" x14ac:dyDescent="0.25">
      <c r="A12" s="3" t="s">
        <v>27</v>
      </c>
      <c r="B12" s="3" t="s">
        <v>34</v>
      </c>
      <c r="C12" s="3" t="s">
        <v>102</v>
      </c>
      <c r="D12" s="3" t="s">
        <v>94</v>
      </c>
      <c r="E12" s="3" t="s">
        <v>89</v>
      </c>
      <c r="F12" s="3" t="s">
        <v>90</v>
      </c>
      <c r="G12" s="3" t="s">
        <v>29</v>
      </c>
    </row>
    <row r="13" spans="1:7" x14ac:dyDescent="0.25">
      <c r="A13" s="3" t="s">
        <v>27</v>
      </c>
      <c r="B13" s="3" t="s">
        <v>34</v>
      </c>
      <c r="C13" s="3" t="s">
        <v>103</v>
      </c>
      <c r="D13" s="3" t="s">
        <v>92</v>
      </c>
      <c r="E13" s="3" t="s">
        <v>90</v>
      </c>
      <c r="F13" s="3" t="s">
        <v>89</v>
      </c>
      <c r="G13" s="3" t="s">
        <v>29</v>
      </c>
    </row>
    <row r="14" spans="1:7" x14ac:dyDescent="0.25">
      <c r="A14" s="3" t="s">
        <v>27</v>
      </c>
      <c r="B14" s="3" t="s">
        <v>34</v>
      </c>
      <c r="C14" s="3" t="s">
        <v>104</v>
      </c>
      <c r="D14" s="3" t="s">
        <v>88</v>
      </c>
      <c r="E14" s="3" t="s">
        <v>90</v>
      </c>
      <c r="F14" s="3" t="s">
        <v>90</v>
      </c>
      <c r="G14" s="3" t="s">
        <v>29</v>
      </c>
    </row>
    <row r="15" spans="1:7" x14ac:dyDescent="0.25">
      <c r="A15" s="3" t="s">
        <v>27</v>
      </c>
      <c r="B15" s="3" t="s">
        <v>34</v>
      </c>
      <c r="C15" s="3" t="s">
        <v>105</v>
      </c>
      <c r="D15" s="3" t="s">
        <v>92</v>
      </c>
      <c r="E15" s="3" t="s">
        <v>90</v>
      </c>
      <c r="F15" s="3" t="s">
        <v>90</v>
      </c>
      <c r="G15" s="3" t="s">
        <v>29</v>
      </c>
    </row>
    <row r="16" spans="1:7" x14ac:dyDescent="0.25">
      <c r="A16" s="3" t="s">
        <v>27</v>
      </c>
      <c r="B16" s="3" t="s">
        <v>34</v>
      </c>
      <c r="C16" s="3" t="s">
        <v>106</v>
      </c>
      <c r="D16" s="3" t="s">
        <v>92</v>
      </c>
      <c r="E16" s="3" t="s">
        <v>90</v>
      </c>
      <c r="F16" s="3" t="s">
        <v>90</v>
      </c>
      <c r="G16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activeCell="J2" sqref="J2"/>
    </sheetView>
  </sheetViews>
  <sheetFormatPr defaultRowHeight="15" x14ac:dyDescent="0.25"/>
  <cols>
    <col min="1" max="1" width="15.85546875" bestFit="1" customWidth="1"/>
    <col min="2" max="2" width="20.42578125" bestFit="1" customWidth="1"/>
    <col min="3" max="3" width="19.85546875" bestFit="1" customWidth="1"/>
    <col min="4" max="4" width="15.42578125" bestFit="1" customWidth="1"/>
    <col min="5" max="5" width="13.42578125" bestFit="1" customWidth="1"/>
    <col min="6" max="6" width="19" bestFit="1" customWidth="1"/>
    <col min="7" max="7" width="9" bestFit="1" customWidth="1"/>
    <col min="8" max="8" width="10.140625" bestFit="1" customWidth="1"/>
    <col min="9" max="9" width="11" bestFit="1" customWidth="1"/>
  </cols>
  <sheetData>
    <row r="1" spans="1:9" ht="21.95" customHeight="1" x14ac:dyDescent="0.25">
      <c r="A1" s="2" t="s">
        <v>107</v>
      </c>
      <c r="B1" s="2" t="s">
        <v>13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21</v>
      </c>
    </row>
    <row r="2" spans="1:9" x14ac:dyDescent="0.25">
      <c r="A2" s="3" t="s">
        <v>114</v>
      </c>
      <c r="B2" s="3" t="s">
        <v>115</v>
      </c>
      <c r="C2" s="3" t="s">
        <v>116</v>
      </c>
      <c r="D2" s="5">
        <v>15000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29</v>
      </c>
    </row>
    <row r="3" spans="1:9" x14ac:dyDescent="0.25">
      <c r="A3" s="3" t="s">
        <v>121</v>
      </c>
      <c r="B3" s="3" t="s">
        <v>122</v>
      </c>
      <c r="C3" s="3" t="s">
        <v>123</v>
      </c>
      <c r="D3" s="5">
        <v>8000</v>
      </c>
      <c r="E3" s="3" t="s">
        <v>117</v>
      </c>
      <c r="F3" s="3" t="s">
        <v>124</v>
      </c>
      <c r="G3" s="3" t="s">
        <v>125</v>
      </c>
      <c r="H3" s="3" t="s">
        <v>126</v>
      </c>
      <c r="I3" s="3" t="s">
        <v>29</v>
      </c>
    </row>
    <row r="4" spans="1:9" x14ac:dyDescent="0.25">
      <c r="A4" s="3" t="s">
        <v>127</v>
      </c>
      <c r="B4" s="3" t="s">
        <v>128</v>
      </c>
      <c r="C4" s="3" t="s">
        <v>129</v>
      </c>
      <c r="D4" s="5">
        <v>10000</v>
      </c>
      <c r="E4" s="3" t="s">
        <v>117</v>
      </c>
      <c r="F4" s="3" t="s">
        <v>124</v>
      </c>
      <c r="G4" s="3" t="s">
        <v>130</v>
      </c>
      <c r="H4" s="3" t="s">
        <v>131</v>
      </c>
      <c r="I4" s="3" t="s">
        <v>29</v>
      </c>
    </row>
    <row r="5" spans="1:9" x14ac:dyDescent="0.25">
      <c r="A5" s="3" t="s">
        <v>132</v>
      </c>
      <c r="B5" s="3" t="s">
        <v>133</v>
      </c>
      <c r="C5" s="3" t="s">
        <v>129</v>
      </c>
      <c r="D5" s="5">
        <v>3000</v>
      </c>
      <c r="E5" s="3" t="s">
        <v>117</v>
      </c>
      <c r="F5" s="3" t="s">
        <v>134</v>
      </c>
      <c r="G5" s="3" t="s">
        <v>135</v>
      </c>
      <c r="H5" s="3" t="s">
        <v>136</v>
      </c>
      <c r="I5" s="3" t="s">
        <v>29</v>
      </c>
    </row>
    <row r="6" spans="1:9" x14ac:dyDescent="0.25">
      <c r="A6" s="3" t="s">
        <v>137</v>
      </c>
      <c r="B6" s="3" t="s">
        <v>138</v>
      </c>
      <c r="C6" s="3" t="s">
        <v>123</v>
      </c>
      <c r="D6" s="5">
        <v>8000</v>
      </c>
      <c r="E6" s="3" t="s">
        <v>117</v>
      </c>
      <c r="F6" s="3" t="s">
        <v>134</v>
      </c>
      <c r="G6" s="3" t="s">
        <v>139</v>
      </c>
      <c r="H6" s="3" t="s">
        <v>140</v>
      </c>
      <c r="I6" s="3" t="s">
        <v>29</v>
      </c>
    </row>
    <row r="7" spans="1:9" x14ac:dyDescent="0.25">
      <c r="A7" s="3" t="s">
        <v>141</v>
      </c>
      <c r="B7" s="3" t="s">
        <v>142</v>
      </c>
      <c r="C7" s="3" t="s">
        <v>116</v>
      </c>
      <c r="D7" s="5">
        <v>15000</v>
      </c>
      <c r="E7" s="3" t="s">
        <v>117</v>
      </c>
      <c r="F7" s="3" t="s">
        <v>124</v>
      </c>
      <c r="G7" s="3" t="s">
        <v>143</v>
      </c>
      <c r="H7" s="3" t="s">
        <v>144</v>
      </c>
      <c r="I7" s="3" t="s">
        <v>29</v>
      </c>
    </row>
    <row r="8" spans="1:9" x14ac:dyDescent="0.25">
      <c r="A8" s="3" t="s">
        <v>145</v>
      </c>
      <c r="B8" s="3" t="s">
        <v>146</v>
      </c>
      <c r="C8" s="3" t="s">
        <v>123</v>
      </c>
      <c r="D8" s="5">
        <v>8000</v>
      </c>
      <c r="E8" s="3" t="s">
        <v>117</v>
      </c>
      <c r="F8" s="3" t="s">
        <v>134</v>
      </c>
      <c r="G8" s="3" t="s">
        <v>147</v>
      </c>
      <c r="H8" s="3" t="s">
        <v>148</v>
      </c>
      <c r="I8" s="3" t="s">
        <v>29</v>
      </c>
    </row>
    <row r="9" spans="1:9" x14ac:dyDescent="0.25">
      <c r="A9" s="3" t="s">
        <v>149</v>
      </c>
      <c r="B9" s="3" t="s">
        <v>150</v>
      </c>
      <c r="C9" s="3" t="s">
        <v>123</v>
      </c>
      <c r="D9" s="5">
        <v>15000</v>
      </c>
      <c r="E9" s="3" t="s">
        <v>117</v>
      </c>
      <c r="F9" s="3" t="s">
        <v>124</v>
      </c>
      <c r="G9" s="3" t="s">
        <v>151</v>
      </c>
      <c r="H9" s="3" t="s">
        <v>120</v>
      </c>
      <c r="I9" s="3" t="s">
        <v>29</v>
      </c>
    </row>
    <row r="10" spans="1:9" x14ac:dyDescent="0.25">
      <c r="A10" s="3" t="s">
        <v>152</v>
      </c>
      <c r="B10" s="3" t="s">
        <v>153</v>
      </c>
      <c r="C10" s="3" t="s">
        <v>116</v>
      </c>
      <c r="D10" s="5">
        <v>8000</v>
      </c>
      <c r="E10" s="3" t="s">
        <v>117</v>
      </c>
      <c r="F10" s="3" t="s">
        <v>124</v>
      </c>
      <c r="G10" s="3" t="s">
        <v>154</v>
      </c>
      <c r="H10" s="3" t="s">
        <v>155</v>
      </c>
      <c r="I10" s="3" t="s">
        <v>29</v>
      </c>
    </row>
    <row r="11" spans="1:9" x14ac:dyDescent="0.25">
      <c r="A11" s="3" t="s">
        <v>156</v>
      </c>
      <c r="B11" s="3" t="s">
        <v>157</v>
      </c>
      <c r="C11" s="3" t="s">
        <v>123</v>
      </c>
      <c r="D11" s="5">
        <v>15000</v>
      </c>
      <c r="E11" s="3" t="s">
        <v>117</v>
      </c>
      <c r="F11" s="3" t="s">
        <v>124</v>
      </c>
      <c r="G11" s="3" t="s">
        <v>158</v>
      </c>
      <c r="H11" s="3" t="s">
        <v>159</v>
      </c>
      <c r="I11" s="3" t="s">
        <v>29</v>
      </c>
    </row>
    <row r="12" spans="1:9" x14ac:dyDescent="0.25">
      <c r="A12" s="3" t="s">
        <v>160</v>
      </c>
      <c r="B12" s="3" t="s">
        <v>161</v>
      </c>
      <c r="C12" s="3" t="s">
        <v>123</v>
      </c>
      <c r="D12" s="5">
        <v>8000</v>
      </c>
      <c r="E12" s="3" t="s">
        <v>117</v>
      </c>
      <c r="F12" s="3" t="s">
        <v>118</v>
      </c>
      <c r="G12" s="3" t="s">
        <v>119</v>
      </c>
      <c r="H12" s="3" t="s">
        <v>120</v>
      </c>
      <c r="I12" s="3" t="s">
        <v>29</v>
      </c>
    </row>
    <row r="13" spans="1:9" x14ac:dyDescent="0.25">
      <c r="A13" s="3" t="s">
        <v>162</v>
      </c>
      <c r="B13" s="3" t="s">
        <v>163</v>
      </c>
      <c r="C13" s="3" t="s">
        <v>116</v>
      </c>
      <c r="D13" s="5">
        <v>3000</v>
      </c>
      <c r="E13" s="3" t="s">
        <v>117</v>
      </c>
      <c r="F13" s="3" t="s">
        <v>118</v>
      </c>
      <c r="G13" s="3" t="s">
        <v>125</v>
      </c>
      <c r="H13" s="3" t="s">
        <v>126</v>
      </c>
      <c r="I13" s="3" t="s">
        <v>29</v>
      </c>
    </row>
    <row r="14" spans="1:9" x14ac:dyDescent="0.25">
      <c r="A14" s="3" t="s">
        <v>164</v>
      </c>
      <c r="B14" s="3" t="s">
        <v>165</v>
      </c>
      <c r="C14" s="3" t="s">
        <v>129</v>
      </c>
      <c r="D14" s="5">
        <v>5000</v>
      </c>
      <c r="E14" s="3" t="s">
        <v>117</v>
      </c>
      <c r="F14" s="3" t="s">
        <v>124</v>
      </c>
      <c r="G14" s="3" t="s">
        <v>130</v>
      </c>
      <c r="H14" s="3" t="s">
        <v>131</v>
      </c>
      <c r="I14" s="3" t="s">
        <v>29</v>
      </c>
    </row>
    <row r="15" spans="1:9" x14ac:dyDescent="0.25">
      <c r="A15" s="3" t="s">
        <v>166</v>
      </c>
      <c r="B15" s="3" t="s">
        <v>167</v>
      </c>
      <c r="C15" s="3" t="s">
        <v>116</v>
      </c>
      <c r="D15" s="5">
        <v>15000</v>
      </c>
      <c r="E15" s="3" t="s">
        <v>117</v>
      </c>
      <c r="F15" s="3" t="s">
        <v>124</v>
      </c>
      <c r="G15" s="3" t="s">
        <v>135</v>
      </c>
      <c r="H15" s="3" t="s">
        <v>136</v>
      </c>
      <c r="I15" s="3" t="s">
        <v>29</v>
      </c>
    </row>
    <row r="16" spans="1:9" x14ac:dyDescent="0.25">
      <c r="A16" s="3" t="s">
        <v>168</v>
      </c>
      <c r="B16" s="3" t="s">
        <v>169</v>
      </c>
      <c r="C16" s="3" t="s">
        <v>116</v>
      </c>
      <c r="D16" s="5">
        <v>10000</v>
      </c>
      <c r="E16" s="3" t="s">
        <v>117</v>
      </c>
      <c r="F16" s="3" t="s">
        <v>124</v>
      </c>
      <c r="G16" s="3" t="s">
        <v>139</v>
      </c>
      <c r="H16" s="3" t="s">
        <v>140</v>
      </c>
      <c r="I16" s="3" t="s">
        <v>29</v>
      </c>
    </row>
    <row r="17" spans="1:9" x14ac:dyDescent="0.25">
      <c r="A17" s="3" t="s">
        <v>170</v>
      </c>
      <c r="B17" s="3" t="s">
        <v>171</v>
      </c>
      <c r="C17" s="3" t="s">
        <v>123</v>
      </c>
      <c r="D17" s="5">
        <v>5000</v>
      </c>
      <c r="E17" s="3" t="s">
        <v>117</v>
      </c>
      <c r="F17" s="3" t="s">
        <v>124</v>
      </c>
      <c r="G17" s="3" t="s">
        <v>143</v>
      </c>
      <c r="H17" s="3" t="s">
        <v>144</v>
      </c>
      <c r="I17" s="3" t="s">
        <v>29</v>
      </c>
    </row>
    <row r="18" spans="1:9" x14ac:dyDescent="0.25">
      <c r="A18" s="3" t="s">
        <v>172</v>
      </c>
      <c r="B18" s="3" t="s">
        <v>173</v>
      </c>
      <c r="C18" s="3" t="s">
        <v>123</v>
      </c>
      <c r="D18" s="5">
        <v>10000</v>
      </c>
      <c r="E18" s="3" t="s">
        <v>117</v>
      </c>
      <c r="F18" s="3" t="s">
        <v>134</v>
      </c>
      <c r="G18" s="3" t="s">
        <v>147</v>
      </c>
      <c r="H18" s="3" t="s">
        <v>148</v>
      </c>
      <c r="I18" s="3" t="s">
        <v>29</v>
      </c>
    </row>
    <row r="19" spans="1:9" x14ac:dyDescent="0.25">
      <c r="A19" s="3" t="s">
        <v>174</v>
      </c>
      <c r="B19" s="3" t="s">
        <v>175</v>
      </c>
      <c r="C19" s="3" t="s">
        <v>116</v>
      </c>
      <c r="D19" s="5">
        <v>8000</v>
      </c>
      <c r="E19" s="3" t="s">
        <v>117</v>
      </c>
      <c r="F19" s="3" t="s">
        <v>134</v>
      </c>
      <c r="G19" s="3" t="s">
        <v>151</v>
      </c>
      <c r="H19" s="3" t="s">
        <v>120</v>
      </c>
      <c r="I19" s="3" t="s">
        <v>29</v>
      </c>
    </row>
    <row r="20" spans="1:9" x14ac:dyDescent="0.25">
      <c r="A20" s="3" t="s">
        <v>176</v>
      </c>
      <c r="B20" s="3" t="s">
        <v>177</v>
      </c>
      <c r="C20" s="3" t="s">
        <v>123</v>
      </c>
      <c r="D20" s="5">
        <v>10000</v>
      </c>
      <c r="E20" s="3" t="s">
        <v>117</v>
      </c>
      <c r="F20" s="3" t="s">
        <v>124</v>
      </c>
      <c r="G20" s="3" t="s">
        <v>154</v>
      </c>
      <c r="H20" s="3" t="s">
        <v>155</v>
      </c>
      <c r="I20" s="3" t="s">
        <v>29</v>
      </c>
    </row>
    <row r="21" spans="1:9" x14ac:dyDescent="0.25">
      <c r="A21" s="3" t="s">
        <v>178</v>
      </c>
      <c r="B21" s="3" t="s">
        <v>179</v>
      </c>
      <c r="C21" s="3" t="s">
        <v>123</v>
      </c>
      <c r="D21" s="5">
        <v>5000</v>
      </c>
      <c r="E21" s="3" t="s">
        <v>117</v>
      </c>
      <c r="F21" s="3" t="s">
        <v>134</v>
      </c>
      <c r="G21" s="3" t="s">
        <v>158</v>
      </c>
      <c r="H21" s="3" t="s">
        <v>159</v>
      </c>
      <c r="I21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I2" sqref="I2"/>
    </sheetView>
  </sheetViews>
  <sheetFormatPr defaultRowHeight="15" x14ac:dyDescent="0.25"/>
  <cols>
    <col min="1" max="1" width="13.85546875" bestFit="1" customWidth="1"/>
    <col min="2" max="2" width="18.7109375" bestFit="1" customWidth="1"/>
    <col min="3" max="3" width="17.85546875" bestFit="1" customWidth="1"/>
    <col min="4" max="4" width="13.42578125" bestFit="1" customWidth="1"/>
    <col min="5" max="5" width="19" bestFit="1" customWidth="1"/>
    <col min="6" max="6" width="9" bestFit="1" customWidth="1"/>
    <col min="7" max="7" width="10.140625" bestFit="1" customWidth="1"/>
    <col min="8" max="8" width="11" bestFit="1" customWidth="1"/>
  </cols>
  <sheetData>
    <row r="1" spans="1:8" ht="21.95" customHeight="1" x14ac:dyDescent="0.25">
      <c r="A1" s="2" t="s">
        <v>180</v>
      </c>
      <c r="B1" s="2" t="s">
        <v>13</v>
      </c>
      <c r="C1" s="2" t="s">
        <v>181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21</v>
      </c>
    </row>
    <row r="2" spans="1:8" x14ac:dyDescent="0.25">
      <c r="A2" s="3" t="s">
        <v>182</v>
      </c>
      <c r="B2" s="3" t="s">
        <v>183</v>
      </c>
      <c r="C2" s="3" t="s">
        <v>184</v>
      </c>
      <c r="D2" s="3" t="s">
        <v>117</v>
      </c>
      <c r="E2" s="3" t="s">
        <v>118</v>
      </c>
      <c r="F2" s="3" t="s">
        <v>135</v>
      </c>
      <c r="G2" s="3" t="s">
        <v>136</v>
      </c>
      <c r="H2" s="3" t="s">
        <v>29</v>
      </c>
    </row>
    <row r="3" spans="1:8" x14ac:dyDescent="0.25">
      <c r="A3" s="3" t="s">
        <v>185</v>
      </c>
      <c r="B3" s="3" t="s">
        <v>186</v>
      </c>
      <c r="C3" s="3" t="s">
        <v>187</v>
      </c>
      <c r="D3" s="3" t="s">
        <v>117</v>
      </c>
      <c r="E3" s="3" t="s">
        <v>188</v>
      </c>
      <c r="F3" s="3" t="s">
        <v>139</v>
      </c>
      <c r="G3" s="3" t="s">
        <v>140</v>
      </c>
      <c r="H3" s="3" t="s">
        <v>29</v>
      </c>
    </row>
    <row r="4" spans="1:8" x14ac:dyDescent="0.25">
      <c r="A4" s="3" t="s">
        <v>189</v>
      </c>
      <c r="B4" s="3" t="s">
        <v>190</v>
      </c>
      <c r="C4" s="3" t="s">
        <v>184</v>
      </c>
      <c r="D4" s="3" t="s">
        <v>117</v>
      </c>
      <c r="E4" s="3" t="s">
        <v>118</v>
      </c>
      <c r="F4" s="3" t="s">
        <v>143</v>
      </c>
      <c r="G4" s="3" t="s">
        <v>144</v>
      </c>
      <c r="H4" s="3" t="s">
        <v>29</v>
      </c>
    </row>
    <row r="5" spans="1:8" x14ac:dyDescent="0.25">
      <c r="A5" s="3" t="s">
        <v>191</v>
      </c>
      <c r="B5" s="3" t="s">
        <v>192</v>
      </c>
      <c r="C5" s="3" t="s">
        <v>187</v>
      </c>
      <c r="D5" s="3" t="s">
        <v>117</v>
      </c>
      <c r="E5" s="3" t="s">
        <v>118</v>
      </c>
      <c r="F5" s="3" t="s">
        <v>147</v>
      </c>
      <c r="G5" s="3" t="s">
        <v>148</v>
      </c>
      <c r="H5" s="3" t="s">
        <v>29</v>
      </c>
    </row>
    <row r="6" spans="1:8" x14ac:dyDescent="0.25">
      <c r="A6" s="3" t="s">
        <v>193</v>
      </c>
      <c r="B6" s="3" t="s">
        <v>194</v>
      </c>
      <c r="C6" s="3" t="s">
        <v>195</v>
      </c>
      <c r="D6" s="3" t="s">
        <v>117</v>
      </c>
      <c r="E6" s="3" t="s">
        <v>124</v>
      </c>
      <c r="F6" s="3" t="s">
        <v>151</v>
      </c>
      <c r="G6" s="3" t="s">
        <v>120</v>
      </c>
      <c r="H6" s="3" t="s">
        <v>29</v>
      </c>
    </row>
    <row r="7" spans="1:8" x14ac:dyDescent="0.25">
      <c r="A7" s="3" t="s">
        <v>196</v>
      </c>
      <c r="B7" s="3" t="s">
        <v>197</v>
      </c>
      <c r="C7" s="3" t="s">
        <v>195</v>
      </c>
      <c r="D7" s="3" t="s">
        <v>117</v>
      </c>
      <c r="E7" s="3" t="s">
        <v>124</v>
      </c>
      <c r="F7" s="3" t="s">
        <v>154</v>
      </c>
      <c r="G7" s="3" t="s">
        <v>155</v>
      </c>
      <c r="H7" s="3" t="s">
        <v>29</v>
      </c>
    </row>
    <row r="8" spans="1:8" x14ac:dyDescent="0.25">
      <c r="A8" s="3" t="s">
        <v>198</v>
      </c>
      <c r="B8" s="3" t="s">
        <v>199</v>
      </c>
      <c r="C8" s="3" t="s">
        <v>184</v>
      </c>
      <c r="D8" s="3" t="s">
        <v>117</v>
      </c>
      <c r="E8" s="3" t="s">
        <v>124</v>
      </c>
      <c r="F8" s="3" t="s">
        <v>158</v>
      </c>
      <c r="G8" s="3" t="s">
        <v>159</v>
      </c>
      <c r="H8" s="3" t="s">
        <v>29</v>
      </c>
    </row>
    <row r="9" spans="1:8" x14ac:dyDescent="0.25">
      <c r="A9" s="3" t="s">
        <v>200</v>
      </c>
      <c r="B9" s="3" t="s">
        <v>201</v>
      </c>
      <c r="C9" s="3" t="s">
        <v>187</v>
      </c>
      <c r="D9" s="3" t="s">
        <v>117</v>
      </c>
      <c r="E9" s="3" t="s">
        <v>188</v>
      </c>
      <c r="F9" s="3" t="s">
        <v>119</v>
      </c>
      <c r="G9" s="3" t="s">
        <v>120</v>
      </c>
      <c r="H9" s="3" t="s">
        <v>29</v>
      </c>
    </row>
    <row r="10" spans="1:8" x14ac:dyDescent="0.25">
      <c r="A10" s="3" t="s">
        <v>202</v>
      </c>
      <c r="B10" s="3" t="s">
        <v>203</v>
      </c>
      <c r="C10" s="3" t="s">
        <v>195</v>
      </c>
      <c r="D10" s="3" t="s">
        <v>117</v>
      </c>
      <c r="E10" s="3" t="s">
        <v>188</v>
      </c>
      <c r="F10" s="3" t="s">
        <v>125</v>
      </c>
      <c r="G10" s="3" t="s">
        <v>126</v>
      </c>
      <c r="H10" s="3" t="s">
        <v>29</v>
      </c>
    </row>
    <row r="11" spans="1:8" x14ac:dyDescent="0.25">
      <c r="A11" s="3" t="s">
        <v>204</v>
      </c>
      <c r="B11" s="3" t="s">
        <v>205</v>
      </c>
      <c r="C11" s="3" t="s">
        <v>195</v>
      </c>
      <c r="D11" s="3" t="s">
        <v>117</v>
      </c>
      <c r="E11" s="3" t="s">
        <v>124</v>
      </c>
      <c r="F11" s="3" t="s">
        <v>130</v>
      </c>
      <c r="G11" s="3" t="s">
        <v>131</v>
      </c>
      <c r="H11" s="3" t="s">
        <v>29</v>
      </c>
    </row>
    <row r="12" spans="1:8" x14ac:dyDescent="0.25">
      <c r="A12" s="3" t="s">
        <v>206</v>
      </c>
      <c r="B12" s="3" t="s">
        <v>207</v>
      </c>
      <c r="C12" s="3" t="s">
        <v>195</v>
      </c>
      <c r="D12" s="3" t="s">
        <v>117</v>
      </c>
      <c r="E12" s="3" t="s">
        <v>188</v>
      </c>
      <c r="F12" s="3" t="s">
        <v>135</v>
      </c>
      <c r="G12" s="3" t="s">
        <v>136</v>
      </c>
      <c r="H12" s="3" t="s">
        <v>29</v>
      </c>
    </row>
    <row r="13" spans="1:8" x14ac:dyDescent="0.25">
      <c r="A13" s="3" t="s">
        <v>208</v>
      </c>
      <c r="B13" s="3" t="s">
        <v>209</v>
      </c>
      <c r="C13" s="3" t="s">
        <v>187</v>
      </c>
      <c r="D13" s="3" t="s">
        <v>117</v>
      </c>
      <c r="E13" s="3" t="s">
        <v>124</v>
      </c>
      <c r="F13" s="3" t="s">
        <v>139</v>
      </c>
      <c r="G13" s="3" t="s">
        <v>140</v>
      </c>
      <c r="H13" s="3" t="s">
        <v>29</v>
      </c>
    </row>
    <row r="14" spans="1:8" x14ac:dyDescent="0.25">
      <c r="A14" s="3" t="s">
        <v>210</v>
      </c>
      <c r="B14" s="3" t="s">
        <v>211</v>
      </c>
      <c r="C14" s="3" t="s">
        <v>195</v>
      </c>
      <c r="D14" s="3" t="s">
        <v>117</v>
      </c>
      <c r="E14" s="3" t="s">
        <v>124</v>
      </c>
      <c r="F14" s="3" t="s">
        <v>143</v>
      </c>
      <c r="G14" s="3" t="s">
        <v>144</v>
      </c>
      <c r="H14" s="3" t="s">
        <v>29</v>
      </c>
    </row>
    <row r="15" spans="1:8" x14ac:dyDescent="0.25">
      <c r="A15" s="3" t="s">
        <v>212</v>
      </c>
      <c r="B15" s="3" t="s">
        <v>213</v>
      </c>
      <c r="C15" s="3" t="s">
        <v>195</v>
      </c>
      <c r="D15" s="3" t="s">
        <v>117</v>
      </c>
      <c r="E15" s="3" t="s">
        <v>118</v>
      </c>
      <c r="F15" s="3" t="s">
        <v>147</v>
      </c>
      <c r="G15" s="3" t="s">
        <v>148</v>
      </c>
      <c r="H15" s="3" t="s">
        <v>29</v>
      </c>
    </row>
    <row r="16" spans="1:8" x14ac:dyDescent="0.25">
      <c r="A16" s="3" t="s">
        <v>214</v>
      </c>
      <c r="B16" s="3" t="s">
        <v>215</v>
      </c>
      <c r="C16" s="3" t="s">
        <v>195</v>
      </c>
      <c r="D16" s="3" t="s">
        <v>117</v>
      </c>
      <c r="E16" s="3" t="s">
        <v>188</v>
      </c>
      <c r="F16" s="3" t="s">
        <v>151</v>
      </c>
      <c r="G16" s="3" t="s">
        <v>120</v>
      </c>
      <c r="H16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workbookViewId="0">
      <selection activeCell="K2" sqref="K2"/>
    </sheetView>
  </sheetViews>
  <sheetFormatPr defaultRowHeight="15" x14ac:dyDescent="0.25"/>
  <cols>
    <col min="1" max="1" width="9.85546875" bestFit="1" customWidth="1"/>
    <col min="2" max="2" width="14.85546875" bestFit="1" customWidth="1"/>
    <col min="3" max="3" width="13.85546875" bestFit="1" customWidth="1"/>
    <col min="4" max="4" width="11.42578125" bestFit="1" customWidth="1"/>
    <col min="5" max="5" width="8.7109375" bestFit="1" customWidth="1"/>
    <col min="6" max="6" width="13.28515625" bestFit="1" customWidth="1"/>
    <col min="7" max="7" width="16.42578125" bestFit="1" customWidth="1"/>
    <col min="8" max="8" width="15.85546875" bestFit="1" customWidth="1"/>
    <col min="9" max="9" width="17.85546875" bestFit="1" customWidth="1"/>
    <col min="10" max="10" width="17.42578125" bestFit="1" customWidth="1"/>
  </cols>
  <sheetData>
    <row r="1" spans="1:10" ht="21.95" customHeight="1" x14ac:dyDescent="0.25">
      <c r="A1" s="2" t="s">
        <v>216</v>
      </c>
      <c r="B1" s="2" t="s">
        <v>217</v>
      </c>
      <c r="C1" s="2" t="s">
        <v>180</v>
      </c>
      <c r="D1" s="2" t="s">
        <v>12</v>
      </c>
      <c r="E1" s="2" t="s">
        <v>218</v>
      </c>
      <c r="F1" s="2" t="s">
        <v>219</v>
      </c>
      <c r="G1" s="2" t="s">
        <v>220</v>
      </c>
      <c r="H1" s="2" t="s">
        <v>20</v>
      </c>
      <c r="I1" s="2" t="s">
        <v>221</v>
      </c>
      <c r="J1" s="2" t="s">
        <v>222</v>
      </c>
    </row>
    <row r="2" spans="1:10" x14ac:dyDescent="0.25">
      <c r="A2" s="6" t="s">
        <v>223</v>
      </c>
      <c r="B2" s="7">
        <v>46026</v>
      </c>
      <c r="C2" s="3" t="s">
        <v>206</v>
      </c>
      <c r="D2" s="3" t="s">
        <v>47</v>
      </c>
      <c r="E2" s="6">
        <v>10</v>
      </c>
      <c r="F2" s="8">
        <v>20</v>
      </c>
      <c r="G2" s="9">
        <f t="shared" ref="G2:G46" si="0">E2*F2</f>
        <v>200</v>
      </c>
      <c r="H2" s="6" t="s">
        <v>42</v>
      </c>
      <c r="I2" s="6" t="s">
        <v>224</v>
      </c>
      <c r="J2" s="6" t="s">
        <v>225</v>
      </c>
    </row>
    <row r="3" spans="1:10" x14ac:dyDescent="0.25">
      <c r="A3" s="6" t="s">
        <v>226</v>
      </c>
      <c r="B3" s="7">
        <v>46027</v>
      </c>
      <c r="C3" s="3" t="s">
        <v>191</v>
      </c>
      <c r="D3" s="3" t="s">
        <v>39</v>
      </c>
      <c r="E3" s="6">
        <v>20</v>
      </c>
      <c r="F3" s="8">
        <v>500</v>
      </c>
      <c r="G3" s="9">
        <f t="shared" si="0"/>
        <v>10000</v>
      </c>
      <c r="H3" s="6" t="s">
        <v>42</v>
      </c>
      <c r="I3" s="6" t="s">
        <v>227</v>
      </c>
      <c r="J3" s="6" t="s">
        <v>228</v>
      </c>
    </row>
    <row r="4" spans="1:10" x14ac:dyDescent="0.25">
      <c r="A4" s="6" t="s">
        <v>229</v>
      </c>
      <c r="B4" s="7">
        <v>46028</v>
      </c>
      <c r="C4" s="3" t="s">
        <v>206</v>
      </c>
      <c r="D4" s="3" t="s">
        <v>37</v>
      </c>
      <c r="E4" s="6">
        <v>3</v>
      </c>
      <c r="F4" s="8">
        <v>250</v>
      </c>
      <c r="G4" s="9">
        <f t="shared" si="0"/>
        <v>750</v>
      </c>
      <c r="H4" s="6" t="s">
        <v>42</v>
      </c>
      <c r="I4" s="6" t="s">
        <v>227</v>
      </c>
      <c r="J4" s="6" t="s">
        <v>225</v>
      </c>
    </row>
    <row r="5" spans="1:10" x14ac:dyDescent="0.25">
      <c r="A5" s="6" t="s">
        <v>230</v>
      </c>
      <c r="B5" s="7">
        <v>46029</v>
      </c>
      <c r="C5" s="3" t="s">
        <v>212</v>
      </c>
      <c r="D5" s="3" t="s">
        <v>59</v>
      </c>
      <c r="E5" s="6">
        <v>20</v>
      </c>
      <c r="F5" s="8">
        <v>180</v>
      </c>
      <c r="G5" s="9">
        <f t="shared" si="0"/>
        <v>3600</v>
      </c>
      <c r="H5" s="6" t="s">
        <v>34</v>
      </c>
      <c r="I5" s="6" t="s">
        <v>224</v>
      </c>
      <c r="J5" s="6" t="s">
        <v>225</v>
      </c>
    </row>
    <row r="6" spans="1:10" x14ac:dyDescent="0.25">
      <c r="A6" s="6" t="s">
        <v>231</v>
      </c>
      <c r="B6" s="7">
        <v>46030</v>
      </c>
      <c r="C6" s="3" t="s">
        <v>182</v>
      </c>
      <c r="D6" s="3" t="s">
        <v>73</v>
      </c>
      <c r="E6" s="6">
        <v>3</v>
      </c>
      <c r="F6" s="8">
        <v>180</v>
      </c>
      <c r="G6" s="9">
        <f t="shared" si="0"/>
        <v>540</v>
      </c>
      <c r="H6" s="6" t="s">
        <v>42</v>
      </c>
      <c r="I6" s="6" t="s">
        <v>232</v>
      </c>
      <c r="J6" s="6" t="s">
        <v>225</v>
      </c>
    </row>
    <row r="7" spans="1:10" x14ac:dyDescent="0.25">
      <c r="A7" s="6" t="s">
        <v>233</v>
      </c>
      <c r="B7" s="7">
        <v>46031</v>
      </c>
      <c r="C7" s="3" t="s">
        <v>191</v>
      </c>
      <c r="D7" s="3" t="s">
        <v>37</v>
      </c>
      <c r="E7" s="6">
        <v>8</v>
      </c>
      <c r="F7" s="8">
        <v>250</v>
      </c>
      <c r="G7" s="9">
        <f t="shared" si="0"/>
        <v>2000</v>
      </c>
      <c r="H7" s="6" t="s">
        <v>28</v>
      </c>
      <c r="I7" s="6" t="s">
        <v>232</v>
      </c>
      <c r="J7" s="6" t="s">
        <v>225</v>
      </c>
    </row>
    <row r="8" spans="1:10" x14ac:dyDescent="0.25">
      <c r="A8" s="6" t="s">
        <v>234</v>
      </c>
      <c r="B8" s="7">
        <v>46032</v>
      </c>
      <c r="C8" s="3" t="s">
        <v>189</v>
      </c>
      <c r="D8" s="3" t="s">
        <v>39</v>
      </c>
      <c r="E8" s="6">
        <v>15</v>
      </c>
      <c r="F8" s="8">
        <v>500</v>
      </c>
      <c r="G8" s="9">
        <f t="shared" si="0"/>
        <v>7500</v>
      </c>
      <c r="H8" s="6" t="s">
        <v>42</v>
      </c>
      <c r="I8" s="6" t="s">
        <v>227</v>
      </c>
      <c r="J8" s="6" t="s">
        <v>228</v>
      </c>
    </row>
    <row r="9" spans="1:10" x14ac:dyDescent="0.25">
      <c r="A9" s="6" t="s">
        <v>235</v>
      </c>
      <c r="B9" s="7">
        <v>46033</v>
      </c>
      <c r="C9" s="3" t="s">
        <v>210</v>
      </c>
      <c r="D9" s="3" t="s">
        <v>35</v>
      </c>
      <c r="E9" s="6">
        <v>20</v>
      </c>
      <c r="F9" s="8">
        <v>120</v>
      </c>
      <c r="G9" s="9">
        <f t="shared" si="0"/>
        <v>2400</v>
      </c>
      <c r="H9" s="6" t="s">
        <v>34</v>
      </c>
      <c r="I9" s="6" t="s">
        <v>224</v>
      </c>
      <c r="J9" s="6" t="s">
        <v>228</v>
      </c>
    </row>
    <row r="10" spans="1:10" x14ac:dyDescent="0.25">
      <c r="A10" s="6" t="s">
        <v>236</v>
      </c>
      <c r="B10" s="7">
        <v>46034</v>
      </c>
      <c r="C10" s="3" t="s">
        <v>185</v>
      </c>
      <c r="D10" s="3" t="s">
        <v>73</v>
      </c>
      <c r="E10" s="6">
        <v>2</v>
      </c>
      <c r="F10" s="8">
        <v>180</v>
      </c>
      <c r="G10" s="9">
        <f t="shared" si="0"/>
        <v>360</v>
      </c>
      <c r="H10" s="6" t="s">
        <v>28</v>
      </c>
      <c r="I10" s="6" t="s">
        <v>224</v>
      </c>
      <c r="J10" s="6" t="s">
        <v>225</v>
      </c>
    </row>
    <row r="11" spans="1:10" x14ac:dyDescent="0.25">
      <c r="A11" s="6" t="s">
        <v>237</v>
      </c>
      <c r="B11" s="7">
        <v>46035</v>
      </c>
      <c r="C11" s="3" t="s">
        <v>191</v>
      </c>
      <c r="D11" s="3" t="s">
        <v>63</v>
      </c>
      <c r="E11" s="6">
        <v>20</v>
      </c>
      <c r="F11" s="8">
        <v>500</v>
      </c>
      <c r="G11" s="9">
        <f t="shared" si="0"/>
        <v>10000</v>
      </c>
      <c r="H11" s="6" t="s">
        <v>42</v>
      </c>
      <c r="I11" s="6" t="s">
        <v>224</v>
      </c>
      <c r="J11" s="6" t="s">
        <v>228</v>
      </c>
    </row>
    <row r="12" spans="1:10" x14ac:dyDescent="0.25">
      <c r="A12" s="6" t="s">
        <v>238</v>
      </c>
      <c r="B12" s="7">
        <v>46036</v>
      </c>
      <c r="C12" s="3" t="s">
        <v>198</v>
      </c>
      <c r="D12" s="3" t="s">
        <v>57</v>
      </c>
      <c r="E12" s="6">
        <v>2</v>
      </c>
      <c r="F12" s="8">
        <v>20</v>
      </c>
      <c r="G12" s="9">
        <f t="shared" si="0"/>
        <v>40</v>
      </c>
      <c r="H12" s="6" t="s">
        <v>42</v>
      </c>
      <c r="I12" s="6" t="s">
        <v>227</v>
      </c>
      <c r="J12" s="6" t="s">
        <v>225</v>
      </c>
    </row>
    <row r="13" spans="1:10" x14ac:dyDescent="0.25">
      <c r="A13" s="6" t="s">
        <v>239</v>
      </c>
      <c r="B13" s="7">
        <v>46037</v>
      </c>
      <c r="C13" s="3" t="s">
        <v>189</v>
      </c>
      <c r="D13" s="3" t="s">
        <v>59</v>
      </c>
      <c r="E13" s="6">
        <v>20</v>
      </c>
      <c r="F13" s="8">
        <v>180</v>
      </c>
      <c r="G13" s="9">
        <f t="shared" si="0"/>
        <v>3600</v>
      </c>
      <c r="H13" s="6" t="s">
        <v>28</v>
      </c>
      <c r="I13" s="6" t="s">
        <v>227</v>
      </c>
      <c r="J13" s="6" t="s">
        <v>228</v>
      </c>
    </row>
    <row r="14" spans="1:10" x14ac:dyDescent="0.25">
      <c r="A14" s="6" t="s">
        <v>240</v>
      </c>
      <c r="B14" s="7">
        <v>46038</v>
      </c>
      <c r="C14" s="3" t="s">
        <v>208</v>
      </c>
      <c r="D14" s="3" t="s">
        <v>30</v>
      </c>
      <c r="E14" s="6">
        <v>2</v>
      </c>
      <c r="F14" s="8">
        <v>45</v>
      </c>
      <c r="G14" s="9">
        <f t="shared" si="0"/>
        <v>90</v>
      </c>
      <c r="H14" s="6" t="s">
        <v>42</v>
      </c>
      <c r="I14" s="6" t="s">
        <v>224</v>
      </c>
      <c r="J14" s="6" t="s">
        <v>228</v>
      </c>
    </row>
    <row r="15" spans="1:10" x14ac:dyDescent="0.25">
      <c r="A15" s="6" t="s">
        <v>241</v>
      </c>
      <c r="B15" s="7">
        <v>46039</v>
      </c>
      <c r="C15" s="3" t="s">
        <v>202</v>
      </c>
      <c r="D15" s="3" t="s">
        <v>69</v>
      </c>
      <c r="E15" s="6">
        <v>20</v>
      </c>
      <c r="F15" s="8">
        <v>900</v>
      </c>
      <c r="G15" s="9">
        <f t="shared" si="0"/>
        <v>18000</v>
      </c>
      <c r="H15" s="6" t="s">
        <v>34</v>
      </c>
      <c r="I15" s="6" t="s">
        <v>224</v>
      </c>
      <c r="J15" s="6" t="s">
        <v>228</v>
      </c>
    </row>
    <row r="16" spans="1:10" x14ac:dyDescent="0.25">
      <c r="A16" s="6" t="s">
        <v>242</v>
      </c>
      <c r="B16" s="7">
        <v>46040</v>
      </c>
      <c r="C16" s="3" t="s">
        <v>212</v>
      </c>
      <c r="D16" s="3" t="s">
        <v>65</v>
      </c>
      <c r="E16" s="6">
        <v>3</v>
      </c>
      <c r="F16" s="8">
        <v>180</v>
      </c>
      <c r="G16" s="9">
        <f t="shared" si="0"/>
        <v>540</v>
      </c>
      <c r="H16" s="6" t="s">
        <v>28</v>
      </c>
      <c r="I16" s="6" t="s">
        <v>224</v>
      </c>
      <c r="J16" s="6" t="s">
        <v>225</v>
      </c>
    </row>
    <row r="17" spans="1:10" x14ac:dyDescent="0.25">
      <c r="A17" s="6" t="s">
        <v>243</v>
      </c>
      <c r="B17" s="7">
        <v>46041</v>
      </c>
      <c r="C17" s="3" t="s">
        <v>198</v>
      </c>
      <c r="D17" s="3" t="s">
        <v>35</v>
      </c>
      <c r="E17" s="6">
        <v>8</v>
      </c>
      <c r="F17" s="8">
        <v>120</v>
      </c>
      <c r="G17" s="9">
        <f t="shared" si="0"/>
        <v>960</v>
      </c>
      <c r="H17" s="6" t="s">
        <v>28</v>
      </c>
      <c r="I17" s="6" t="s">
        <v>232</v>
      </c>
      <c r="J17" s="6" t="s">
        <v>228</v>
      </c>
    </row>
    <row r="18" spans="1:10" x14ac:dyDescent="0.25">
      <c r="A18" s="6" t="s">
        <v>244</v>
      </c>
      <c r="B18" s="7">
        <v>46042</v>
      </c>
      <c r="C18" s="3" t="s">
        <v>204</v>
      </c>
      <c r="D18" s="3" t="s">
        <v>69</v>
      </c>
      <c r="E18" s="6">
        <v>2</v>
      </c>
      <c r="F18" s="8">
        <v>900</v>
      </c>
      <c r="G18" s="9">
        <f t="shared" si="0"/>
        <v>1800</v>
      </c>
      <c r="H18" s="6" t="s">
        <v>28</v>
      </c>
      <c r="I18" s="6" t="s">
        <v>227</v>
      </c>
      <c r="J18" s="6" t="s">
        <v>225</v>
      </c>
    </row>
    <row r="19" spans="1:10" x14ac:dyDescent="0.25">
      <c r="A19" s="6" t="s">
        <v>245</v>
      </c>
      <c r="B19" s="7">
        <v>46043</v>
      </c>
      <c r="C19" s="3" t="s">
        <v>214</v>
      </c>
      <c r="D19" s="3" t="s">
        <v>69</v>
      </c>
      <c r="E19" s="6">
        <v>12</v>
      </c>
      <c r="F19" s="8">
        <v>900</v>
      </c>
      <c r="G19" s="9">
        <f t="shared" si="0"/>
        <v>10800</v>
      </c>
      <c r="H19" s="6" t="s">
        <v>42</v>
      </c>
      <c r="I19" s="6" t="s">
        <v>224</v>
      </c>
      <c r="J19" s="6" t="s">
        <v>225</v>
      </c>
    </row>
    <row r="20" spans="1:10" x14ac:dyDescent="0.25">
      <c r="A20" s="6" t="s">
        <v>246</v>
      </c>
      <c r="B20" s="7">
        <v>46044</v>
      </c>
      <c r="C20" s="3" t="s">
        <v>191</v>
      </c>
      <c r="D20" s="3" t="s">
        <v>77</v>
      </c>
      <c r="E20" s="6">
        <v>12</v>
      </c>
      <c r="F20" s="8">
        <v>320</v>
      </c>
      <c r="G20" s="9">
        <f t="shared" si="0"/>
        <v>3840</v>
      </c>
      <c r="H20" s="6" t="s">
        <v>42</v>
      </c>
      <c r="I20" s="6" t="s">
        <v>227</v>
      </c>
      <c r="J20" s="6" t="s">
        <v>228</v>
      </c>
    </row>
    <row r="21" spans="1:10" x14ac:dyDescent="0.25">
      <c r="A21" s="6" t="s">
        <v>247</v>
      </c>
      <c r="B21" s="7">
        <v>46045</v>
      </c>
      <c r="C21" s="3" t="s">
        <v>200</v>
      </c>
      <c r="D21" s="3" t="s">
        <v>75</v>
      </c>
      <c r="E21" s="6">
        <v>10</v>
      </c>
      <c r="F21" s="8">
        <v>60</v>
      </c>
      <c r="G21" s="9">
        <f t="shared" si="0"/>
        <v>600</v>
      </c>
      <c r="H21" s="6" t="s">
        <v>42</v>
      </c>
      <c r="I21" s="6" t="s">
        <v>224</v>
      </c>
      <c r="J21" s="6" t="s">
        <v>228</v>
      </c>
    </row>
    <row r="22" spans="1:10" x14ac:dyDescent="0.25">
      <c r="A22" s="6" t="s">
        <v>248</v>
      </c>
      <c r="B22" s="7">
        <v>46046</v>
      </c>
      <c r="C22" s="3" t="s">
        <v>185</v>
      </c>
      <c r="D22" s="3" t="s">
        <v>61</v>
      </c>
      <c r="E22" s="6">
        <v>3</v>
      </c>
      <c r="F22" s="8">
        <v>85</v>
      </c>
      <c r="G22" s="9">
        <f t="shared" si="0"/>
        <v>255</v>
      </c>
      <c r="H22" s="6" t="s">
        <v>34</v>
      </c>
      <c r="I22" s="6" t="s">
        <v>224</v>
      </c>
      <c r="J22" s="6" t="s">
        <v>225</v>
      </c>
    </row>
    <row r="23" spans="1:10" x14ac:dyDescent="0.25">
      <c r="A23" s="6" t="s">
        <v>249</v>
      </c>
      <c r="B23" s="7">
        <v>46047</v>
      </c>
      <c r="C23" s="3" t="s">
        <v>214</v>
      </c>
      <c r="D23" s="3" t="s">
        <v>49</v>
      </c>
      <c r="E23" s="6">
        <v>5</v>
      </c>
      <c r="F23" s="8">
        <v>320</v>
      </c>
      <c r="G23" s="9">
        <f t="shared" si="0"/>
        <v>1600</v>
      </c>
      <c r="H23" s="6" t="s">
        <v>42</v>
      </c>
      <c r="I23" s="6" t="s">
        <v>224</v>
      </c>
      <c r="J23" s="6" t="s">
        <v>228</v>
      </c>
    </row>
    <row r="24" spans="1:10" x14ac:dyDescent="0.25">
      <c r="A24" s="6" t="s">
        <v>250</v>
      </c>
      <c r="B24" s="7">
        <v>46048</v>
      </c>
      <c r="C24" s="3" t="s">
        <v>189</v>
      </c>
      <c r="D24" s="3" t="s">
        <v>55</v>
      </c>
      <c r="E24" s="6">
        <v>10</v>
      </c>
      <c r="F24" s="8">
        <v>45</v>
      </c>
      <c r="G24" s="9">
        <f t="shared" si="0"/>
        <v>450</v>
      </c>
      <c r="H24" s="6" t="s">
        <v>42</v>
      </c>
      <c r="I24" s="6" t="s">
        <v>232</v>
      </c>
      <c r="J24" s="6" t="s">
        <v>225</v>
      </c>
    </row>
    <row r="25" spans="1:10" x14ac:dyDescent="0.25">
      <c r="A25" s="6" t="s">
        <v>251</v>
      </c>
      <c r="B25" s="7">
        <v>46049</v>
      </c>
      <c r="C25" s="3" t="s">
        <v>206</v>
      </c>
      <c r="D25" s="3" t="s">
        <v>51</v>
      </c>
      <c r="E25" s="6">
        <v>2</v>
      </c>
      <c r="F25" s="8">
        <v>20</v>
      </c>
      <c r="G25" s="9">
        <f t="shared" si="0"/>
        <v>40</v>
      </c>
      <c r="H25" s="6" t="s">
        <v>34</v>
      </c>
      <c r="I25" s="6" t="s">
        <v>227</v>
      </c>
      <c r="J25" s="6" t="s">
        <v>225</v>
      </c>
    </row>
    <row r="26" spans="1:10" x14ac:dyDescent="0.25">
      <c r="A26" s="6" t="s">
        <v>252</v>
      </c>
      <c r="B26" s="7">
        <v>46050</v>
      </c>
      <c r="C26" s="3" t="s">
        <v>193</v>
      </c>
      <c r="D26" s="3" t="s">
        <v>37</v>
      </c>
      <c r="E26" s="6">
        <v>5</v>
      </c>
      <c r="F26" s="8">
        <v>250</v>
      </c>
      <c r="G26" s="9">
        <f t="shared" si="0"/>
        <v>1250</v>
      </c>
      <c r="H26" s="6" t="s">
        <v>28</v>
      </c>
      <c r="I26" s="6" t="s">
        <v>224</v>
      </c>
      <c r="J26" s="6" t="s">
        <v>225</v>
      </c>
    </row>
    <row r="27" spans="1:10" x14ac:dyDescent="0.25">
      <c r="A27" s="6" t="s">
        <v>253</v>
      </c>
      <c r="B27" s="7">
        <v>46051</v>
      </c>
      <c r="C27" s="3" t="s">
        <v>193</v>
      </c>
      <c r="D27" s="3" t="s">
        <v>67</v>
      </c>
      <c r="E27" s="6">
        <v>5</v>
      </c>
      <c r="F27" s="8">
        <v>85</v>
      </c>
      <c r="G27" s="9">
        <f t="shared" si="0"/>
        <v>425</v>
      </c>
      <c r="H27" s="6" t="s">
        <v>42</v>
      </c>
      <c r="I27" s="6" t="s">
        <v>232</v>
      </c>
      <c r="J27" s="6" t="s">
        <v>228</v>
      </c>
    </row>
    <row r="28" spans="1:10" x14ac:dyDescent="0.25">
      <c r="A28" s="6" t="s">
        <v>254</v>
      </c>
      <c r="B28" s="7">
        <v>46052</v>
      </c>
      <c r="C28" s="3" t="s">
        <v>191</v>
      </c>
      <c r="D28" s="3" t="s">
        <v>77</v>
      </c>
      <c r="E28" s="6">
        <v>12</v>
      </c>
      <c r="F28" s="8">
        <v>320</v>
      </c>
      <c r="G28" s="9">
        <f t="shared" si="0"/>
        <v>3840</v>
      </c>
      <c r="H28" s="6" t="s">
        <v>34</v>
      </c>
      <c r="I28" s="6" t="s">
        <v>232</v>
      </c>
      <c r="J28" s="6" t="s">
        <v>225</v>
      </c>
    </row>
    <row r="29" spans="1:10" x14ac:dyDescent="0.25">
      <c r="A29" s="6" t="s">
        <v>255</v>
      </c>
      <c r="B29" s="7">
        <v>46053</v>
      </c>
      <c r="C29" s="3" t="s">
        <v>193</v>
      </c>
      <c r="D29" s="3" t="s">
        <v>65</v>
      </c>
      <c r="E29" s="6">
        <v>20</v>
      </c>
      <c r="F29" s="8">
        <v>180</v>
      </c>
      <c r="G29" s="9">
        <f t="shared" si="0"/>
        <v>3600</v>
      </c>
      <c r="H29" s="6" t="s">
        <v>28</v>
      </c>
      <c r="I29" s="6" t="s">
        <v>224</v>
      </c>
      <c r="J29" s="6" t="s">
        <v>225</v>
      </c>
    </row>
    <row r="30" spans="1:10" x14ac:dyDescent="0.25">
      <c r="A30" s="6" t="s">
        <v>256</v>
      </c>
      <c r="B30" s="7">
        <v>46054</v>
      </c>
      <c r="C30" s="3" t="s">
        <v>182</v>
      </c>
      <c r="D30" s="3" t="s">
        <v>59</v>
      </c>
      <c r="E30" s="6">
        <v>10</v>
      </c>
      <c r="F30" s="8">
        <v>180</v>
      </c>
      <c r="G30" s="9">
        <f t="shared" si="0"/>
        <v>1800</v>
      </c>
      <c r="H30" s="6" t="s">
        <v>28</v>
      </c>
      <c r="I30" s="6" t="s">
        <v>227</v>
      </c>
      <c r="J30" s="6" t="s">
        <v>228</v>
      </c>
    </row>
    <row r="31" spans="1:10" x14ac:dyDescent="0.25">
      <c r="A31" s="6" t="s">
        <v>257</v>
      </c>
      <c r="B31" s="7">
        <v>46055</v>
      </c>
      <c r="C31" s="3" t="s">
        <v>189</v>
      </c>
      <c r="D31" s="3" t="s">
        <v>73</v>
      </c>
      <c r="E31" s="6">
        <v>10</v>
      </c>
      <c r="F31" s="8">
        <v>180</v>
      </c>
      <c r="G31" s="9">
        <f t="shared" si="0"/>
        <v>1800</v>
      </c>
      <c r="H31" s="6" t="s">
        <v>34</v>
      </c>
      <c r="I31" s="6" t="s">
        <v>227</v>
      </c>
      <c r="J31" s="6" t="s">
        <v>225</v>
      </c>
    </row>
    <row r="32" spans="1:10" x14ac:dyDescent="0.25">
      <c r="A32" s="6" t="s">
        <v>258</v>
      </c>
      <c r="B32" s="7">
        <v>46056</v>
      </c>
      <c r="C32" s="3" t="s">
        <v>202</v>
      </c>
      <c r="D32" s="3" t="s">
        <v>77</v>
      </c>
      <c r="E32" s="6">
        <v>15</v>
      </c>
      <c r="F32" s="8">
        <v>320</v>
      </c>
      <c r="G32" s="9">
        <f t="shared" si="0"/>
        <v>4800</v>
      </c>
      <c r="H32" s="6" t="s">
        <v>28</v>
      </c>
      <c r="I32" s="6" t="s">
        <v>224</v>
      </c>
      <c r="J32" s="6" t="s">
        <v>228</v>
      </c>
    </row>
    <row r="33" spans="1:10" x14ac:dyDescent="0.25">
      <c r="A33" s="6" t="s">
        <v>259</v>
      </c>
      <c r="B33" s="7">
        <v>46057</v>
      </c>
      <c r="C33" s="3" t="s">
        <v>202</v>
      </c>
      <c r="D33" s="3" t="s">
        <v>77</v>
      </c>
      <c r="E33" s="6">
        <v>5</v>
      </c>
      <c r="F33" s="8">
        <v>320</v>
      </c>
      <c r="G33" s="9">
        <f t="shared" si="0"/>
        <v>1600</v>
      </c>
      <c r="H33" s="6" t="s">
        <v>28</v>
      </c>
      <c r="I33" s="6" t="s">
        <v>227</v>
      </c>
      <c r="J33" s="6" t="s">
        <v>225</v>
      </c>
    </row>
    <row r="34" spans="1:10" x14ac:dyDescent="0.25">
      <c r="A34" s="6" t="s">
        <v>260</v>
      </c>
      <c r="B34" s="7">
        <v>46058</v>
      </c>
      <c r="C34" s="3" t="s">
        <v>198</v>
      </c>
      <c r="D34" s="3" t="s">
        <v>67</v>
      </c>
      <c r="E34" s="6">
        <v>5</v>
      </c>
      <c r="F34" s="8">
        <v>85</v>
      </c>
      <c r="G34" s="9">
        <f t="shared" si="0"/>
        <v>425</v>
      </c>
      <c r="H34" s="6" t="s">
        <v>28</v>
      </c>
      <c r="I34" s="6" t="s">
        <v>224</v>
      </c>
      <c r="J34" s="6" t="s">
        <v>225</v>
      </c>
    </row>
    <row r="35" spans="1:10" x14ac:dyDescent="0.25">
      <c r="A35" s="6" t="s">
        <v>261</v>
      </c>
      <c r="B35" s="7">
        <v>46059</v>
      </c>
      <c r="C35" s="3" t="s">
        <v>214</v>
      </c>
      <c r="D35" s="3" t="s">
        <v>55</v>
      </c>
      <c r="E35" s="6">
        <v>2</v>
      </c>
      <c r="F35" s="8">
        <v>45</v>
      </c>
      <c r="G35" s="9">
        <f t="shared" si="0"/>
        <v>90</v>
      </c>
      <c r="H35" s="6" t="s">
        <v>42</v>
      </c>
      <c r="I35" s="6" t="s">
        <v>224</v>
      </c>
      <c r="J35" s="6" t="s">
        <v>225</v>
      </c>
    </row>
    <row r="36" spans="1:10" x14ac:dyDescent="0.25">
      <c r="A36" s="6" t="s">
        <v>262</v>
      </c>
      <c r="B36" s="7">
        <v>46060</v>
      </c>
      <c r="C36" s="3" t="s">
        <v>196</v>
      </c>
      <c r="D36" s="3" t="s">
        <v>47</v>
      </c>
      <c r="E36" s="6">
        <v>3</v>
      </c>
      <c r="F36" s="8">
        <v>20</v>
      </c>
      <c r="G36" s="9">
        <f t="shared" si="0"/>
        <v>60</v>
      </c>
      <c r="H36" s="6" t="s">
        <v>34</v>
      </c>
      <c r="I36" s="6" t="s">
        <v>227</v>
      </c>
      <c r="J36" s="6" t="s">
        <v>225</v>
      </c>
    </row>
    <row r="37" spans="1:10" x14ac:dyDescent="0.25">
      <c r="A37" s="6" t="s">
        <v>263</v>
      </c>
      <c r="B37" s="7">
        <v>46061</v>
      </c>
      <c r="C37" s="3" t="s">
        <v>214</v>
      </c>
      <c r="D37" s="3" t="s">
        <v>79</v>
      </c>
      <c r="E37" s="6">
        <v>5</v>
      </c>
      <c r="F37" s="8">
        <v>45</v>
      </c>
      <c r="G37" s="9">
        <f t="shared" si="0"/>
        <v>225</v>
      </c>
      <c r="H37" s="6" t="s">
        <v>28</v>
      </c>
      <c r="I37" s="6" t="s">
        <v>224</v>
      </c>
      <c r="J37" s="6" t="s">
        <v>228</v>
      </c>
    </row>
    <row r="38" spans="1:10" x14ac:dyDescent="0.25">
      <c r="A38" s="6" t="s">
        <v>264</v>
      </c>
      <c r="B38" s="7">
        <v>46062</v>
      </c>
      <c r="C38" s="3" t="s">
        <v>189</v>
      </c>
      <c r="D38" s="3" t="s">
        <v>59</v>
      </c>
      <c r="E38" s="6">
        <v>2</v>
      </c>
      <c r="F38" s="8">
        <v>180</v>
      </c>
      <c r="G38" s="9">
        <f t="shared" si="0"/>
        <v>360</v>
      </c>
      <c r="H38" s="6" t="s">
        <v>34</v>
      </c>
      <c r="I38" s="6" t="s">
        <v>227</v>
      </c>
      <c r="J38" s="6" t="s">
        <v>225</v>
      </c>
    </row>
    <row r="39" spans="1:10" x14ac:dyDescent="0.25">
      <c r="A39" s="6" t="s">
        <v>265</v>
      </c>
      <c r="B39" s="7">
        <v>46063</v>
      </c>
      <c r="C39" s="3" t="s">
        <v>193</v>
      </c>
      <c r="D39" s="3" t="s">
        <v>75</v>
      </c>
      <c r="E39" s="6">
        <v>8</v>
      </c>
      <c r="F39" s="8">
        <v>60</v>
      </c>
      <c r="G39" s="9">
        <f t="shared" si="0"/>
        <v>480</v>
      </c>
      <c r="H39" s="6" t="s">
        <v>28</v>
      </c>
      <c r="I39" s="6" t="s">
        <v>232</v>
      </c>
      <c r="J39" s="6" t="s">
        <v>228</v>
      </c>
    </row>
    <row r="40" spans="1:10" x14ac:dyDescent="0.25">
      <c r="A40" s="6" t="s">
        <v>266</v>
      </c>
      <c r="B40" s="7">
        <v>46064</v>
      </c>
      <c r="C40" s="3" t="s">
        <v>212</v>
      </c>
      <c r="D40" s="3" t="s">
        <v>57</v>
      </c>
      <c r="E40" s="6">
        <v>2</v>
      </c>
      <c r="F40" s="8">
        <v>20</v>
      </c>
      <c r="G40" s="9">
        <f t="shared" si="0"/>
        <v>40</v>
      </c>
      <c r="H40" s="6" t="s">
        <v>42</v>
      </c>
      <c r="I40" s="6" t="s">
        <v>224</v>
      </c>
      <c r="J40" s="6" t="s">
        <v>228</v>
      </c>
    </row>
    <row r="41" spans="1:10" x14ac:dyDescent="0.25">
      <c r="A41" s="6" t="s">
        <v>267</v>
      </c>
      <c r="B41" s="7">
        <v>46065</v>
      </c>
      <c r="C41" s="3" t="s">
        <v>193</v>
      </c>
      <c r="D41" s="3" t="s">
        <v>61</v>
      </c>
      <c r="E41" s="6">
        <v>12</v>
      </c>
      <c r="F41" s="8">
        <v>85</v>
      </c>
      <c r="G41" s="9">
        <f t="shared" si="0"/>
        <v>1020</v>
      </c>
      <c r="H41" s="6" t="s">
        <v>28</v>
      </c>
      <c r="I41" s="6" t="s">
        <v>224</v>
      </c>
      <c r="J41" s="6" t="s">
        <v>228</v>
      </c>
    </row>
    <row r="42" spans="1:10" x14ac:dyDescent="0.25">
      <c r="A42" s="6" t="s">
        <v>268</v>
      </c>
      <c r="B42" s="7">
        <v>46066</v>
      </c>
      <c r="C42" s="3" t="s">
        <v>198</v>
      </c>
      <c r="D42" s="3" t="s">
        <v>75</v>
      </c>
      <c r="E42" s="6">
        <v>8</v>
      </c>
      <c r="F42" s="8">
        <v>60</v>
      </c>
      <c r="G42" s="9">
        <f t="shared" si="0"/>
        <v>480</v>
      </c>
      <c r="H42" s="6" t="s">
        <v>42</v>
      </c>
      <c r="I42" s="6" t="s">
        <v>227</v>
      </c>
      <c r="J42" s="6" t="s">
        <v>228</v>
      </c>
    </row>
    <row r="43" spans="1:10" x14ac:dyDescent="0.25">
      <c r="A43" s="6" t="s">
        <v>269</v>
      </c>
      <c r="B43" s="7">
        <v>46067</v>
      </c>
      <c r="C43" s="3" t="s">
        <v>196</v>
      </c>
      <c r="D43" s="3" t="s">
        <v>81</v>
      </c>
      <c r="E43" s="6">
        <v>10</v>
      </c>
      <c r="F43" s="8">
        <v>900</v>
      </c>
      <c r="G43" s="9">
        <f t="shared" si="0"/>
        <v>9000</v>
      </c>
      <c r="H43" s="6" t="s">
        <v>34</v>
      </c>
      <c r="I43" s="6" t="s">
        <v>232</v>
      </c>
      <c r="J43" s="6" t="s">
        <v>225</v>
      </c>
    </row>
    <row r="44" spans="1:10" x14ac:dyDescent="0.25">
      <c r="A44" s="6" t="s">
        <v>270</v>
      </c>
      <c r="B44" s="7">
        <v>46068</v>
      </c>
      <c r="C44" s="3" t="s">
        <v>182</v>
      </c>
      <c r="D44" s="3" t="s">
        <v>75</v>
      </c>
      <c r="E44" s="6">
        <v>12</v>
      </c>
      <c r="F44" s="8">
        <v>60</v>
      </c>
      <c r="G44" s="9">
        <f t="shared" si="0"/>
        <v>720</v>
      </c>
      <c r="H44" s="6" t="s">
        <v>28</v>
      </c>
      <c r="I44" s="6" t="s">
        <v>227</v>
      </c>
      <c r="J44" s="6" t="s">
        <v>228</v>
      </c>
    </row>
    <row r="45" spans="1:10" x14ac:dyDescent="0.25">
      <c r="A45" s="6" t="s">
        <v>271</v>
      </c>
      <c r="B45" s="7">
        <v>46069</v>
      </c>
      <c r="C45" s="3" t="s">
        <v>182</v>
      </c>
      <c r="D45" s="3" t="s">
        <v>69</v>
      </c>
      <c r="E45" s="6">
        <v>10</v>
      </c>
      <c r="F45" s="8">
        <v>900</v>
      </c>
      <c r="G45" s="9">
        <f t="shared" si="0"/>
        <v>9000</v>
      </c>
      <c r="H45" s="6" t="s">
        <v>28</v>
      </c>
      <c r="I45" s="6" t="s">
        <v>232</v>
      </c>
      <c r="J45" s="6" t="s">
        <v>225</v>
      </c>
    </row>
    <row r="46" spans="1:10" x14ac:dyDescent="0.25">
      <c r="A46" s="6" t="s">
        <v>272</v>
      </c>
      <c r="B46" s="7">
        <v>46070</v>
      </c>
      <c r="C46" s="3" t="s">
        <v>198</v>
      </c>
      <c r="D46" s="3" t="s">
        <v>55</v>
      </c>
      <c r="E46" s="6">
        <v>12</v>
      </c>
      <c r="F46" s="8">
        <v>45</v>
      </c>
      <c r="G46" s="9">
        <f t="shared" si="0"/>
        <v>540</v>
      </c>
      <c r="H46" s="6" t="s">
        <v>34</v>
      </c>
      <c r="I46" s="6" t="s">
        <v>232</v>
      </c>
      <c r="J46" s="6" t="s">
        <v>228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1"/>
  <sheetViews>
    <sheetView workbookViewId="0">
      <selection activeCell="K2" sqref="K2"/>
    </sheetView>
  </sheetViews>
  <sheetFormatPr defaultRowHeight="15" x14ac:dyDescent="0.25"/>
  <cols>
    <col min="1" max="1" width="9.7109375" bestFit="1" customWidth="1"/>
    <col min="2" max="2" width="14.85546875" bestFit="1" customWidth="1"/>
    <col min="3" max="3" width="15.85546875" bestFit="1" customWidth="1"/>
    <col min="4" max="4" width="11.42578125" bestFit="1" customWidth="1"/>
    <col min="5" max="5" width="8.7109375" bestFit="1" customWidth="1"/>
    <col min="6" max="6" width="13.85546875" bestFit="1" customWidth="1"/>
    <col min="7" max="7" width="16.42578125" bestFit="1" customWidth="1"/>
    <col min="8" max="8" width="15.85546875" bestFit="1" customWidth="1"/>
    <col min="9" max="9" width="19.7109375" bestFit="1" customWidth="1"/>
    <col min="10" max="10" width="17.42578125" bestFit="1" customWidth="1"/>
  </cols>
  <sheetData>
    <row r="1" spans="1:10" ht="21.95" customHeight="1" x14ac:dyDescent="0.25">
      <c r="A1" s="2" t="s">
        <v>273</v>
      </c>
      <c r="B1" s="2" t="s">
        <v>217</v>
      </c>
      <c r="C1" s="2" t="s">
        <v>107</v>
      </c>
      <c r="D1" s="2" t="s">
        <v>12</v>
      </c>
      <c r="E1" s="2" t="s">
        <v>218</v>
      </c>
      <c r="F1" s="2" t="s">
        <v>274</v>
      </c>
      <c r="G1" s="2" t="s">
        <v>220</v>
      </c>
      <c r="H1" s="2" t="s">
        <v>20</v>
      </c>
      <c r="I1" s="2" t="s">
        <v>275</v>
      </c>
      <c r="J1" s="2" t="s">
        <v>222</v>
      </c>
    </row>
    <row r="2" spans="1:10" x14ac:dyDescent="0.25">
      <c r="A2" s="6" t="s">
        <v>276</v>
      </c>
      <c r="B2" s="7">
        <v>46031</v>
      </c>
      <c r="C2" s="3" t="s">
        <v>145</v>
      </c>
      <c r="D2" s="3" t="s">
        <v>57</v>
      </c>
      <c r="E2" s="6">
        <v>5</v>
      </c>
      <c r="F2" s="8">
        <v>32.700000000000003</v>
      </c>
      <c r="G2" s="9">
        <f t="shared" ref="G2:G33" si="0">E2*F2</f>
        <v>163.5</v>
      </c>
      <c r="H2" s="6" t="s">
        <v>42</v>
      </c>
      <c r="I2" s="6" t="s">
        <v>277</v>
      </c>
      <c r="J2" s="6" t="s">
        <v>225</v>
      </c>
    </row>
    <row r="3" spans="1:10" x14ac:dyDescent="0.25">
      <c r="A3" s="6" t="s">
        <v>278</v>
      </c>
      <c r="B3" s="7">
        <v>46032</v>
      </c>
      <c r="C3" s="3" t="s">
        <v>172</v>
      </c>
      <c r="D3" s="3" t="s">
        <v>59</v>
      </c>
      <c r="E3" s="6">
        <v>1</v>
      </c>
      <c r="F3" s="8">
        <v>276.49</v>
      </c>
      <c r="G3" s="9">
        <f t="shared" si="0"/>
        <v>276.49</v>
      </c>
      <c r="H3" s="6" t="s">
        <v>34</v>
      </c>
      <c r="I3" s="6" t="s">
        <v>232</v>
      </c>
      <c r="J3" s="6" t="s">
        <v>225</v>
      </c>
    </row>
    <row r="4" spans="1:10" x14ac:dyDescent="0.25">
      <c r="A4" s="6" t="s">
        <v>279</v>
      </c>
      <c r="B4" s="7">
        <v>46033</v>
      </c>
      <c r="C4" s="3" t="s">
        <v>145</v>
      </c>
      <c r="D4" s="3" t="s">
        <v>79</v>
      </c>
      <c r="E4" s="6">
        <v>6</v>
      </c>
      <c r="F4" s="8">
        <v>76.45</v>
      </c>
      <c r="G4" s="9">
        <f t="shared" si="0"/>
        <v>458.70000000000005</v>
      </c>
      <c r="H4" s="6" t="s">
        <v>42</v>
      </c>
      <c r="I4" s="6" t="s">
        <v>280</v>
      </c>
      <c r="J4" s="6" t="s">
        <v>228</v>
      </c>
    </row>
    <row r="5" spans="1:10" x14ac:dyDescent="0.25">
      <c r="A5" s="6" t="s">
        <v>281</v>
      </c>
      <c r="B5" s="7">
        <v>46034</v>
      </c>
      <c r="C5" s="3" t="s">
        <v>178</v>
      </c>
      <c r="D5" s="3" t="s">
        <v>75</v>
      </c>
      <c r="E5" s="6">
        <v>3</v>
      </c>
      <c r="F5" s="8">
        <v>78.77</v>
      </c>
      <c r="G5" s="9">
        <f t="shared" si="0"/>
        <v>236.31</v>
      </c>
      <c r="H5" s="6" t="s">
        <v>42</v>
      </c>
      <c r="I5" s="6" t="s">
        <v>232</v>
      </c>
      <c r="J5" s="6" t="s">
        <v>228</v>
      </c>
    </row>
    <row r="6" spans="1:10" x14ac:dyDescent="0.25">
      <c r="A6" s="6" t="s">
        <v>282</v>
      </c>
      <c r="B6" s="7">
        <v>46035</v>
      </c>
      <c r="C6" s="3" t="s">
        <v>172</v>
      </c>
      <c r="D6" s="3" t="s">
        <v>79</v>
      </c>
      <c r="E6" s="6">
        <v>3</v>
      </c>
      <c r="F6" s="8">
        <v>76.45</v>
      </c>
      <c r="G6" s="9">
        <f t="shared" si="0"/>
        <v>229.35000000000002</v>
      </c>
      <c r="H6" s="6" t="s">
        <v>42</v>
      </c>
      <c r="I6" s="6" t="s">
        <v>232</v>
      </c>
      <c r="J6" s="6" t="s">
        <v>225</v>
      </c>
    </row>
    <row r="7" spans="1:10" x14ac:dyDescent="0.25">
      <c r="A7" s="6" t="s">
        <v>283</v>
      </c>
      <c r="B7" s="7">
        <v>46036</v>
      </c>
      <c r="C7" s="3" t="s">
        <v>156</v>
      </c>
      <c r="D7" s="3" t="s">
        <v>53</v>
      </c>
      <c r="E7" s="6">
        <v>4</v>
      </c>
      <c r="F7" s="8">
        <v>97.39</v>
      </c>
      <c r="G7" s="9">
        <f t="shared" si="0"/>
        <v>389.56</v>
      </c>
      <c r="H7" s="6" t="s">
        <v>34</v>
      </c>
      <c r="I7" s="6" t="s">
        <v>277</v>
      </c>
      <c r="J7" s="6" t="s">
        <v>228</v>
      </c>
    </row>
    <row r="8" spans="1:10" x14ac:dyDescent="0.25">
      <c r="A8" s="6" t="s">
        <v>284</v>
      </c>
      <c r="B8" s="7">
        <v>46037</v>
      </c>
      <c r="C8" s="3" t="s">
        <v>164</v>
      </c>
      <c r="D8" s="3" t="s">
        <v>59</v>
      </c>
      <c r="E8" s="6">
        <v>6</v>
      </c>
      <c r="F8" s="8">
        <v>276.49</v>
      </c>
      <c r="G8" s="9">
        <f t="shared" si="0"/>
        <v>1658.94</v>
      </c>
      <c r="H8" s="6" t="s">
        <v>34</v>
      </c>
      <c r="I8" s="6" t="s">
        <v>232</v>
      </c>
      <c r="J8" s="6" t="s">
        <v>228</v>
      </c>
    </row>
    <row r="9" spans="1:10" x14ac:dyDescent="0.25">
      <c r="A9" s="6" t="s">
        <v>285</v>
      </c>
      <c r="B9" s="7">
        <v>46038</v>
      </c>
      <c r="C9" s="3" t="s">
        <v>156</v>
      </c>
      <c r="D9" s="3" t="s">
        <v>71</v>
      </c>
      <c r="E9" s="6">
        <v>5</v>
      </c>
      <c r="F9" s="8">
        <v>526.20000000000005</v>
      </c>
      <c r="G9" s="9">
        <f t="shared" si="0"/>
        <v>2631</v>
      </c>
      <c r="H9" s="6" t="s">
        <v>42</v>
      </c>
      <c r="I9" s="6" t="s">
        <v>232</v>
      </c>
      <c r="J9" s="6" t="s">
        <v>228</v>
      </c>
    </row>
    <row r="10" spans="1:10" x14ac:dyDescent="0.25">
      <c r="A10" s="6" t="s">
        <v>286</v>
      </c>
      <c r="B10" s="7">
        <v>46039</v>
      </c>
      <c r="C10" s="3" t="s">
        <v>145</v>
      </c>
      <c r="D10" s="3" t="s">
        <v>51</v>
      </c>
      <c r="E10" s="6">
        <v>3</v>
      </c>
      <c r="F10" s="8">
        <v>33.76</v>
      </c>
      <c r="G10" s="9">
        <f t="shared" si="0"/>
        <v>101.28</v>
      </c>
      <c r="H10" s="6" t="s">
        <v>42</v>
      </c>
      <c r="I10" s="6" t="s">
        <v>232</v>
      </c>
      <c r="J10" s="6" t="s">
        <v>225</v>
      </c>
    </row>
    <row r="11" spans="1:10" x14ac:dyDescent="0.25">
      <c r="A11" s="6" t="s">
        <v>287</v>
      </c>
      <c r="B11" s="7">
        <v>46040</v>
      </c>
      <c r="C11" s="3" t="s">
        <v>168</v>
      </c>
      <c r="D11" s="3" t="s">
        <v>73</v>
      </c>
      <c r="E11" s="6">
        <v>3</v>
      </c>
      <c r="F11" s="8">
        <v>257.05</v>
      </c>
      <c r="G11" s="9">
        <f t="shared" si="0"/>
        <v>771.15000000000009</v>
      </c>
      <c r="H11" s="6" t="s">
        <v>42</v>
      </c>
      <c r="I11" s="6" t="s">
        <v>280</v>
      </c>
      <c r="J11" s="6" t="s">
        <v>225</v>
      </c>
    </row>
    <row r="12" spans="1:10" x14ac:dyDescent="0.25">
      <c r="A12" s="6" t="s">
        <v>288</v>
      </c>
      <c r="B12" s="7">
        <v>46041</v>
      </c>
      <c r="C12" s="3" t="s">
        <v>170</v>
      </c>
      <c r="D12" s="3" t="s">
        <v>45</v>
      </c>
      <c r="E12" s="6">
        <v>5</v>
      </c>
      <c r="F12" s="8">
        <v>168.37</v>
      </c>
      <c r="G12" s="9">
        <f t="shared" si="0"/>
        <v>841.85</v>
      </c>
      <c r="H12" s="6" t="s">
        <v>34</v>
      </c>
      <c r="I12" s="6" t="s">
        <v>277</v>
      </c>
      <c r="J12" s="6" t="s">
        <v>225</v>
      </c>
    </row>
    <row r="13" spans="1:10" x14ac:dyDescent="0.25">
      <c r="A13" s="6" t="s">
        <v>289</v>
      </c>
      <c r="B13" s="7">
        <v>46042</v>
      </c>
      <c r="C13" s="3" t="s">
        <v>172</v>
      </c>
      <c r="D13" s="3" t="s">
        <v>35</v>
      </c>
      <c r="E13" s="6">
        <v>3</v>
      </c>
      <c r="F13" s="8">
        <v>151.72</v>
      </c>
      <c r="G13" s="9">
        <f t="shared" si="0"/>
        <v>455.15999999999997</v>
      </c>
      <c r="H13" s="6" t="s">
        <v>34</v>
      </c>
      <c r="I13" s="6" t="s">
        <v>232</v>
      </c>
      <c r="J13" s="6" t="s">
        <v>225</v>
      </c>
    </row>
    <row r="14" spans="1:10" x14ac:dyDescent="0.25">
      <c r="A14" s="6" t="s">
        <v>290</v>
      </c>
      <c r="B14" s="7">
        <v>46043</v>
      </c>
      <c r="C14" s="3" t="s">
        <v>149</v>
      </c>
      <c r="D14" s="3" t="s">
        <v>53</v>
      </c>
      <c r="E14" s="6">
        <v>1</v>
      </c>
      <c r="F14" s="8">
        <v>97.39</v>
      </c>
      <c r="G14" s="9">
        <f t="shared" si="0"/>
        <v>97.39</v>
      </c>
      <c r="H14" s="6" t="s">
        <v>34</v>
      </c>
      <c r="I14" s="6" t="s">
        <v>280</v>
      </c>
      <c r="J14" s="6" t="s">
        <v>228</v>
      </c>
    </row>
    <row r="15" spans="1:10" x14ac:dyDescent="0.25">
      <c r="A15" s="6" t="s">
        <v>291</v>
      </c>
      <c r="B15" s="7">
        <v>46044</v>
      </c>
      <c r="C15" s="3" t="s">
        <v>114</v>
      </c>
      <c r="D15" s="3" t="s">
        <v>45</v>
      </c>
      <c r="E15" s="6">
        <v>2</v>
      </c>
      <c r="F15" s="8">
        <v>168.37</v>
      </c>
      <c r="G15" s="9">
        <f t="shared" si="0"/>
        <v>336.74</v>
      </c>
      <c r="H15" s="6" t="s">
        <v>28</v>
      </c>
      <c r="I15" s="6" t="s">
        <v>277</v>
      </c>
      <c r="J15" s="6" t="s">
        <v>225</v>
      </c>
    </row>
    <row r="16" spans="1:10" x14ac:dyDescent="0.25">
      <c r="A16" s="6" t="s">
        <v>292</v>
      </c>
      <c r="B16" s="7">
        <v>46045</v>
      </c>
      <c r="C16" s="3" t="s">
        <v>127</v>
      </c>
      <c r="D16" s="3" t="s">
        <v>71</v>
      </c>
      <c r="E16" s="6">
        <v>8</v>
      </c>
      <c r="F16" s="8">
        <v>526.20000000000005</v>
      </c>
      <c r="G16" s="9">
        <f t="shared" si="0"/>
        <v>4209.6000000000004</v>
      </c>
      <c r="H16" s="6" t="s">
        <v>42</v>
      </c>
      <c r="I16" s="6" t="s">
        <v>280</v>
      </c>
      <c r="J16" s="6" t="s">
        <v>225</v>
      </c>
    </row>
    <row r="17" spans="1:10" x14ac:dyDescent="0.25">
      <c r="A17" s="6" t="s">
        <v>293</v>
      </c>
      <c r="B17" s="7">
        <v>46046</v>
      </c>
      <c r="C17" s="3" t="s">
        <v>164</v>
      </c>
      <c r="D17" s="3" t="s">
        <v>69</v>
      </c>
      <c r="E17" s="6">
        <v>2</v>
      </c>
      <c r="F17" s="8">
        <v>1252.76</v>
      </c>
      <c r="G17" s="9">
        <f t="shared" si="0"/>
        <v>2505.52</v>
      </c>
      <c r="H17" s="6" t="s">
        <v>42</v>
      </c>
      <c r="I17" s="6" t="s">
        <v>280</v>
      </c>
      <c r="J17" s="6" t="s">
        <v>228</v>
      </c>
    </row>
    <row r="18" spans="1:10" x14ac:dyDescent="0.25">
      <c r="A18" s="6" t="s">
        <v>294</v>
      </c>
      <c r="B18" s="7">
        <v>46047</v>
      </c>
      <c r="C18" s="3" t="s">
        <v>114</v>
      </c>
      <c r="D18" s="3" t="s">
        <v>39</v>
      </c>
      <c r="E18" s="6">
        <v>6</v>
      </c>
      <c r="F18" s="8">
        <v>782.8</v>
      </c>
      <c r="G18" s="9">
        <f t="shared" si="0"/>
        <v>4696.7999999999993</v>
      </c>
      <c r="H18" s="6" t="s">
        <v>28</v>
      </c>
      <c r="I18" s="6" t="s">
        <v>280</v>
      </c>
      <c r="J18" s="6" t="s">
        <v>228</v>
      </c>
    </row>
    <row r="19" spans="1:10" x14ac:dyDescent="0.25">
      <c r="A19" s="6" t="s">
        <v>295</v>
      </c>
      <c r="B19" s="7">
        <v>46048</v>
      </c>
      <c r="C19" s="3" t="s">
        <v>172</v>
      </c>
      <c r="D19" s="3" t="s">
        <v>43</v>
      </c>
      <c r="E19" s="6">
        <v>8</v>
      </c>
      <c r="F19" s="8">
        <v>440.06</v>
      </c>
      <c r="G19" s="9">
        <f t="shared" si="0"/>
        <v>3520.48</v>
      </c>
      <c r="H19" s="6" t="s">
        <v>42</v>
      </c>
      <c r="I19" s="6" t="s">
        <v>277</v>
      </c>
      <c r="J19" s="6" t="s">
        <v>225</v>
      </c>
    </row>
    <row r="20" spans="1:10" x14ac:dyDescent="0.25">
      <c r="A20" s="6" t="s">
        <v>296</v>
      </c>
      <c r="B20" s="7">
        <v>46049</v>
      </c>
      <c r="C20" s="3" t="s">
        <v>132</v>
      </c>
      <c r="D20" s="3" t="s">
        <v>47</v>
      </c>
      <c r="E20" s="6">
        <v>8</v>
      </c>
      <c r="F20" s="8">
        <v>25.83</v>
      </c>
      <c r="G20" s="9">
        <f t="shared" si="0"/>
        <v>206.64</v>
      </c>
      <c r="H20" s="6" t="s">
        <v>42</v>
      </c>
      <c r="I20" s="6" t="s">
        <v>277</v>
      </c>
      <c r="J20" s="6" t="s">
        <v>225</v>
      </c>
    </row>
    <row r="21" spans="1:10" x14ac:dyDescent="0.25">
      <c r="A21" s="6" t="s">
        <v>297</v>
      </c>
      <c r="B21" s="7">
        <v>46050</v>
      </c>
      <c r="C21" s="3" t="s">
        <v>174</v>
      </c>
      <c r="D21" s="3" t="s">
        <v>75</v>
      </c>
      <c r="E21" s="6">
        <v>5</v>
      </c>
      <c r="F21" s="8">
        <v>78.77</v>
      </c>
      <c r="G21" s="9">
        <f t="shared" si="0"/>
        <v>393.84999999999997</v>
      </c>
      <c r="H21" s="6" t="s">
        <v>34</v>
      </c>
      <c r="I21" s="6" t="s">
        <v>280</v>
      </c>
      <c r="J21" s="6" t="s">
        <v>225</v>
      </c>
    </row>
    <row r="22" spans="1:10" x14ac:dyDescent="0.25">
      <c r="A22" s="6" t="s">
        <v>298</v>
      </c>
      <c r="B22" s="7">
        <v>46051</v>
      </c>
      <c r="C22" s="3" t="s">
        <v>172</v>
      </c>
      <c r="D22" s="3" t="s">
        <v>71</v>
      </c>
      <c r="E22" s="6">
        <v>8</v>
      </c>
      <c r="F22" s="8">
        <v>526.20000000000005</v>
      </c>
      <c r="G22" s="9">
        <f t="shared" si="0"/>
        <v>4209.6000000000004</v>
      </c>
      <c r="H22" s="6" t="s">
        <v>42</v>
      </c>
      <c r="I22" s="6" t="s">
        <v>232</v>
      </c>
      <c r="J22" s="6" t="s">
        <v>225</v>
      </c>
    </row>
    <row r="23" spans="1:10" x14ac:dyDescent="0.25">
      <c r="A23" s="6" t="s">
        <v>299</v>
      </c>
      <c r="B23" s="7">
        <v>46052</v>
      </c>
      <c r="C23" s="3" t="s">
        <v>170</v>
      </c>
      <c r="D23" s="3" t="s">
        <v>43</v>
      </c>
      <c r="E23" s="6">
        <v>6</v>
      </c>
      <c r="F23" s="8">
        <v>440.06</v>
      </c>
      <c r="G23" s="9">
        <f t="shared" si="0"/>
        <v>2640.36</v>
      </c>
      <c r="H23" s="6" t="s">
        <v>42</v>
      </c>
      <c r="I23" s="6" t="s">
        <v>280</v>
      </c>
      <c r="J23" s="6" t="s">
        <v>228</v>
      </c>
    </row>
    <row r="24" spans="1:10" x14ac:dyDescent="0.25">
      <c r="A24" s="6" t="s">
        <v>300</v>
      </c>
      <c r="B24" s="7">
        <v>46053</v>
      </c>
      <c r="C24" s="3" t="s">
        <v>172</v>
      </c>
      <c r="D24" s="3" t="s">
        <v>73</v>
      </c>
      <c r="E24" s="6">
        <v>3</v>
      </c>
      <c r="F24" s="8">
        <v>257.05</v>
      </c>
      <c r="G24" s="9">
        <f t="shared" si="0"/>
        <v>771.15000000000009</v>
      </c>
      <c r="H24" s="6" t="s">
        <v>42</v>
      </c>
      <c r="I24" s="6" t="s">
        <v>232</v>
      </c>
      <c r="J24" s="6" t="s">
        <v>228</v>
      </c>
    </row>
    <row r="25" spans="1:10" x14ac:dyDescent="0.25">
      <c r="A25" s="6" t="s">
        <v>301</v>
      </c>
      <c r="B25" s="7">
        <v>46054</v>
      </c>
      <c r="C25" s="3" t="s">
        <v>127</v>
      </c>
      <c r="D25" s="3" t="s">
        <v>49</v>
      </c>
      <c r="E25" s="6">
        <v>4</v>
      </c>
      <c r="F25" s="8">
        <v>438.09</v>
      </c>
      <c r="G25" s="9">
        <f t="shared" si="0"/>
        <v>1752.36</v>
      </c>
      <c r="H25" s="6" t="s">
        <v>34</v>
      </c>
      <c r="I25" s="6" t="s">
        <v>280</v>
      </c>
      <c r="J25" s="6" t="s">
        <v>228</v>
      </c>
    </row>
    <row r="26" spans="1:10" x14ac:dyDescent="0.25">
      <c r="A26" s="6" t="s">
        <v>302</v>
      </c>
      <c r="B26" s="7">
        <v>46055</v>
      </c>
      <c r="C26" s="3" t="s">
        <v>160</v>
      </c>
      <c r="D26" s="3" t="s">
        <v>49</v>
      </c>
      <c r="E26" s="6">
        <v>3</v>
      </c>
      <c r="F26" s="8">
        <v>438.09</v>
      </c>
      <c r="G26" s="9">
        <f t="shared" si="0"/>
        <v>1314.27</v>
      </c>
      <c r="H26" s="6" t="s">
        <v>34</v>
      </c>
      <c r="I26" s="6" t="s">
        <v>277</v>
      </c>
      <c r="J26" s="6" t="s">
        <v>228</v>
      </c>
    </row>
    <row r="27" spans="1:10" x14ac:dyDescent="0.25">
      <c r="A27" s="6" t="s">
        <v>303</v>
      </c>
      <c r="B27" s="7">
        <v>46056</v>
      </c>
      <c r="C27" s="3" t="s">
        <v>164</v>
      </c>
      <c r="D27" s="3" t="s">
        <v>39</v>
      </c>
      <c r="E27" s="6">
        <v>2</v>
      </c>
      <c r="F27" s="8">
        <v>782.8</v>
      </c>
      <c r="G27" s="9">
        <f t="shared" si="0"/>
        <v>1565.6</v>
      </c>
      <c r="H27" s="6" t="s">
        <v>34</v>
      </c>
      <c r="I27" s="6" t="s">
        <v>277</v>
      </c>
      <c r="J27" s="6" t="s">
        <v>225</v>
      </c>
    </row>
    <row r="28" spans="1:10" x14ac:dyDescent="0.25">
      <c r="A28" s="6" t="s">
        <v>304</v>
      </c>
      <c r="B28" s="7">
        <v>46057</v>
      </c>
      <c r="C28" s="3" t="s">
        <v>166</v>
      </c>
      <c r="D28" s="3" t="s">
        <v>45</v>
      </c>
      <c r="E28" s="6">
        <v>1</v>
      </c>
      <c r="F28" s="8">
        <v>168.37</v>
      </c>
      <c r="G28" s="9">
        <f t="shared" si="0"/>
        <v>168.37</v>
      </c>
      <c r="H28" s="6" t="s">
        <v>42</v>
      </c>
      <c r="I28" s="6" t="s">
        <v>280</v>
      </c>
      <c r="J28" s="6" t="s">
        <v>225</v>
      </c>
    </row>
    <row r="29" spans="1:10" x14ac:dyDescent="0.25">
      <c r="A29" s="6" t="s">
        <v>305</v>
      </c>
      <c r="B29" s="7">
        <v>46058</v>
      </c>
      <c r="C29" s="3" t="s">
        <v>121</v>
      </c>
      <c r="D29" s="3" t="s">
        <v>61</v>
      </c>
      <c r="E29" s="6">
        <v>4</v>
      </c>
      <c r="F29" s="8">
        <v>114.26</v>
      </c>
      <c r="G29" s="9">
        <f t="shared" si="0"/>
        <v>457.04</v>
      </c>
      <c r="H29" s="6" t="s">
        <v>28</v>
      </c>
      <c r="I29" s="6" t="s">
        <v>280</v>
      </c>
      <c r="J29" s="6" t="s">
        <v>225</v>
      </c>
    </row>
    <row r="30" spans="1:10" x14ac:dyDescent="0.25">
      <c r="A30" s="6" t="s">
        <v>306</v>
      </c>
      <c r="B30" s="7">
        <v>46059</v>
      </c>
      <c r="C30" s="3" t="s">
        <v>114</v>
      </c>
      <c r="D30" s="3" t="s">
        <v>81</v>
      </c>
      <c r="E30" s="6">
        <v>5</v>
      </c>
      <c r="F30" s="8">
        <v>1144.08</v>
      </c>
      <c r="G30" s="9">
        <f t="shared" si="0"/>
        <v>5720.4</v>
      </c>
      <c r="H30" s="6" t="s">
        <v>34</v>
      </c>
      <c r="I30" s="6" t="s">
        <v>280</v>
      </c>
      <c r="J30" s="6" t="s">
        <v>225</v>
      </c>
    </row>
    <row r="31" spans="1:10" x14ac:dyDescent="0.25">
      <c r="A31" s="6" t="s">
        <v>307</v>
      </c>
      <c r="B31" s="7">
        <v>46060</v>
      </c>
      <c r="C31" s="3" t="s">
        <v>156</v>
      </c>
      <c r="D31" s="3" t="s">
        <v>22</v>
      </c>
      <c r="E31" s="6">
        <v>3</v>
      </c>
      <c r="F31" s="8">
        <v>650.04999999999995</v>
      </c>
      <c r="G31" s="9">
        <f t="shared" si="0"/>
        <v>1950.1499999999999</v>
      </c>
      <c r="H31" s="6" t="s">
        <v>42</v>
      </c>
      <c r="I31" s="6" t="s">
        <v>280</v>
      </c>
      <c r="J31" s="6" t="s">
        <v>225</v>
      </c>
    </row>
    <row r="32" spans="1:10" x14ac:dyDescent="0.25">
      <c r="A32" s="6" t="s">
        <v>308</v>
      </c>
      <c r="B32" s="7">
        <v>46061</v>
      </c>
      <c r="C32" s="3" t="s">
        <v>174</v>
      </c>
      <c r="D32" s="3" t="s">
        <v>79</v>
      </c>
      <c r="E32" s="6">
        <v>6</v>
      </c>
      <c r="F32" s="8">
        <v>76.45</v>
      </c>
      <c r="G32" s="9">
        <f t="shared" si="0"/>
        <v>458.70000000000005</v>
      </c>
      <c r="H32" s="6" t="s">
        <v>34</v>
      </c>
      <c r="I32" s="6" t="s">
        <v>277</v>
      </c>
      <c r="J32" s="6" t="s">
        <v>225</v>
      </c>
    </row>
    <row r="33" spans="1:10" x14ac:dyDescent="0.25">
      <c r="A33" s="6" t="s">
        <v>309</v>
      </c>
      <c r="B33" s="7">
        <v>46062</v>
      </c>
      <c r="C33" s="3" t="s">
        <v>166</v>
      </c>
      <c r="D33" s="3" t="s">
        <v>47</v>
      </c>
      <c r="E33" s="6">
        <v>3</v>
      </c>
      <c r="F33" s="8">
        <v>25.83</v>
      </c>
      <c r="G33" s="9">
        <f t="shared" si="0"/>
        <v>77.489999999999995</v>
      </c>
      <c r="H33" s="6" t="s">
        <v>42</v>
      </c>
      <c r="I33" s="6" t="s">
        <v>277</v>
      </c>
      <c r="J33" s="6" t="s">
        <v>225</v>
      </c>
    </row>
    <row r="34" spans="1:10" x14ac:dyDescent="0.25">
      <c r="A34" s="6" t="s">
        <v>310</v>
      </c>
      <c r="B34" s="7">
        <v>46063</v>
      </c>
      <c r="C34" s="3" t="s">
        <v>164</v>
      </c>
      <c r="D34" s="3" t="s">
        <v>53</v>
      </c>
      <c r="E34" s="6">
        <v>6</v>
      </c>
      <c r="F34" s="8">
        <v>97.39</v>
      </c>
      <c r="G34" s="9">
        <f t="shared" ref="G34:G61" si="1">E34*F34</f>
        <v>584.34</v>
      </c>
      <c r="H34" s="6" t="s">
        <v>34</v>
      </c>
      <c r="I34" s="6" t="s">
        <v>277</v>
      </c>
      <c r="J34" s="6" t="s">
        <v>225</v>
      </c>
    </row>
    <row r="35" spans="1:10" x14ac:dyDescent="0.25">
      <c r="A35" s="6" t="s">
        <v>311</v>
      </c>
      <c r="B35" s="7">
        <v>46064</v>
      </c>
      <c r="C35" s="3" t="s">
        <v>174</v>
      </c>
      <c r="D35" s="3" t="s">
        <v>39</v>
      </c>
      <c r="E35" s="6">
        <v>5</v>
      </c>
      <c r="F35" s="8">
        <v>782.8</v>
      </c>
      <c r="G35" s="9">
        <f t="shared" si="1"/>
        <v>3914</v>
      </c>
      <c r="H35" s="6" t="s">
        <v>28</v>
      </c>
      <c r="I35" s="6" t="s">
        <v>280</v>
      </c>
      <c r="J35" s="6" t="s">
        <v>225</v>
      </c>
    </row>
    <row r="36" spans="1:10" x14ac:dyDescent="0.25">
      <c r="A36" s="6" t="s">
        <v>312</v>
      </c>
      <c r="B36" s="7">
        <v>46065</v>
      </c>
      <c r="C36" s="3" t="s">
        <v>114</v>
      </c>
      <c r="D36" s="3" t="s">
        <v>69</v>
      </c>
      <c r="E36" s="6">
        <v>6</v>
      </c>
      <c r="F36" s="8">
        <v>1252.76</v>
      </c>
      <c r="G36" s="9">
        <f t="shared" si="1"/>
        <v>7516.5599999999995</v>
      </c>
      <c r="H36" s="6" t="s">
        <v>28</v>
      </c>
      <c r="I36" s="6" t="s">
        <v>232</v>
      </c>
      <c r="J36" s="6" t="s">
        <v>225</v>
      </c>
    </row>
    <row r="37" spans="1:10" x14ac:dyDescent="0.25">
      <c r="A37" s="6" t="s">
        <v>313</v>
      </c>
      <c r="B37" s="7">
        <v>46066</v>
      </c>
      <c r="C37" s="3" t="s">
        <v>168</v>
      </c>
      <c r="D37" s="3" t="s">
        <v>39</v>
      </c>
      <c r="E37" s="6">
        <v>8</v>
      </c>
      <c r="F37" s="8">
        <v>782.8</v>
      </c>
      <c r="G37" s="9">
        <f t="shared" si="1"/>
        <v>6262.4</v>
      </c>
      <c r="H37" s="6" t="s">
        <v>28</v>
      </c>
      <c r="I37" s="6" t="s">
        <v>277</v>
      </c>
      <c r="J37" s="6" t="s">
        <v>225</v>
      </c>
    </row>
    <row r="38" spans="1:10" x14ac:dyDescent="0.25">
      <c r="A38" s="6" t="s">
        <v>314</v>
      </c>
      <c r="B38" s="7">
        <v>46067</v>
      </c>
      <c r="C38" s="3" t="s">
        <v>145</v>
      </c>
      <c r="D38" s="3" t="s">
        <v>57</v>
      </c>
      <c r="E38" s="6">
        <v>3</v>
      </c>
      <c r="F38" s="8">
        <v>32.700000000000003</v>
      </c>
      <c r="G38" s="9">
        <f t="shared" si="1"/>
        <v>98.100000000000009</v>
      </c>
      <c r="H38" s="6" t="s">
        <v>42</v>
      </c>
      <c r="I38" s="6" t="s">
        <v>280</v>
      </c>
      <c r="J38" s="6" t="s">
        <v>225</v>
      </c>
    </row>
    <row r="39" spans="1:10" x14ac:dyDescent="0.25">
      <c r="A39" s="6" t="s">
        <v>315</v>
      </c>
      <c r="B39" s="7">
        <v>46068</v>
      </c>
      <c r="C39" s="3" t="s">
        <v>152</v>
      </c>
      <c r="D39" s="3" t="s">
        <v>81</v>
      </c>
      <c r="E39" s="6">
        <v>4</v>
      </c>
      <c r="F39" s="8">
        <v>1144.08</v>
      </c>
      <c r="G39" s="9">
        <f t="shared" si="1"/>
        <v>4576.32</v>
      </c>
      <c r="H39" s="6" t="s">
        <v>42</v>
      </c>
      <c r="I39" s="6" t="s">
        <v>280</v>
      </c>
      <c r="J39" s="6" t="s">
        <v>228</v>
      </c>
    </row>
    <row r="40" spans="1:10" x14ac:dyDescent="0.25">
      <c r="A40" s="6" t="s">
        <v>316</v>
      </c>
      <c r="B40" s="7">
        <v>46069</v>
      </c>
      <c r="C40" s="3" t="s">
        <v>174</v>
      </c>
      <c r="D40" s="3" t="s">
        <v>63</v>
      </c>
      <c r="E40" s="6">
        <v>1</v>
      </c>
      <c r="F40" s="8">
        <v>663.51</v>
      </c>
      <c r="G40" s="9">
        <f t="shared" si="1"/>
        <v>663.51</v>
      </c>
      <c r="H40" s="6" t="s">
        <v>28</v>
      </c>
      <c r="I40" s="6" t="s">
        <v>280</v>
      </c>
      <c r="J40" s="6" t="s">
        <v>228</v>
      </c>
    </row>
    <row r="41" spans="1:10" x14ac:dyDescent="0.25">
      <c r="A41" s="6" t="s">
        <v>317</v>
      </c>
      <c r="B41" s="7">
        <v>46070</v>
      </c>
      <c r="C41" s="3" t="s">
        <v>121</v>
      </c>
      <c r="D41" s="3" t="s">
        <v>73</v>
      </c>
      <c r="E41" s="6">
        <v>1</v>
      </c>
      <c r="F41" s="8">
        <v>257.05</v>
      </c>
      <c r="G41" s="9">
        <f t="shared" si="1"/>
        <v>257.05</v>
      </c>
      <c r="H41" s="6" t="s">
        <v>28</v>
      </c>
      <c r="I41" s="6" t="s">
        <v>277</v>
      </c>
      <c r="J41" s="6" t="s">
        <v>228</v>
      </c>
    </row>
    <row r="42" spans="1:10" x14ac:dyDescent="0.25">
      <c r="A42" s="6" t="s">
        <v>318</v>
      </c>
      <c r="B42" s="7">
        <v>46071</v>
      </c>
      <c r="C42" s="3" t="s">
        <v>137</v>
      </c>
      <c r="D42" s="3" t="s">
        <v>22</v>
      </c>
      <c r="E42" s="6">
        <v>5</v>
      </c>
      <c r="F42" s="8">
        <v>650.04999999999995</v>
      </c>
      <c r="G42" s="9">
        <f t="shared" si="1"/>
        <v>3250.25</v>
      </c>
      <c r="H42" s="6" t="s">
        <v>28</v>
      </c>
      <c r="I42" s="6" t="s">
        <v>277</v>
      </c>
      <c r="J42" s="6" t="s">
        <v>225</v>
      </c>
    </row>
    <row r="43" spans="1:10" x14ac:dyDescent="0.25">
      <c r="A43" s="6" t="s">
        <v>319</v>
      </c>
      <c r="B43" s="7">
        <v>46072</v>
      </c>
      <c r="C43" s="3" t="s">
        <v>176</v>
      </c>
      <c r="D43" s="3" t="s">
        <v>75</v>
      </c>
      <c r="E43" s="6">
        <v>1</v>
      </c>
      <c r="F43" s="8">
        <v>78.77</v>
      </c>
      <c r="G43" s="9">
        <f t="shared" si="1"/>
        <v>78.77</v>
      </c>
      <c r="H43" s="6" t="s">
        <v>28</v>
      </c>
      <c r="I43" s="6" t="s">
        <v>280</v>
      </c>
      <c r="J43" s="6" t="s">
        <v>225</v>
      </c>
    </row>
    <row r="44" spans="1:10" x14ac:dyDescent="0.25">
      <c r="A44" s="6" t="s">
        <v>320</v>
      </c>
      <c r="B44" s="7">
        <v>46073</v>
      </c>
      <c r="C44" s="3" t="s">
        <v>162</v>
      </c>
      <c r="D44" s="3" t="s">
        <v>49</v>
      </c>
      <c r="E44" s="6">
        <v>8</v>
      </c>
      <c r="F44" s="8">
        <v>438.09</v>
      </c>
      <c r="G44" s="9">
        <f t="shared" si="1"/>
        <v>3504.72</v>
      </c>
      <c r="H44" s="6" t="s">
        <v>28</v>
      </c>
      <c r="I44" s="6" t="s">
        <v>232</v>
      </c>
      <c r="J44" s="6" t="s">
        <v>225</v>
      </c>
    </row>
    <row r="45" spans="1:10" x14ac:dyDescent="0.25">
      <c r="A45" s="6" t="s">
        <v>321</v>
      </c>
      <c r="B45" s="7">
        <v>46074</v>
      </c>
      <c r="C45" s="3" t="s">
        <v>132</v>
      </c>
      <c r="D45" s="3" t="s">
        <v>79</v>
      </c>
      <c r="E45" s="6">
        <v>6</v>
      </c>
      <c r="F45" s="8">
        <v>76.45</v>
      </c>
      <c r="G45" s="9">
        <f t="shared" si="1"/>
        <v>458.70000000000005</v>
      </c>
      <c r="H45" s="6" t="s">
        <v>28</v>
      </c>
      <c r="I45" s="6" t="s">
        <v>280</v>
      </c>
      <c r="J45" s="6" t="s">
        <v>228</v>
      </c>
    </row>
    <row r="46" spans="1:10" x14ac:dyDescent="0.25">
      <c r="A46" s="6" t="s">
        <v>322</v>
      </c>
      <c r="B46" s="7">
        <v>46075</v>
      </c>
      <c r="C46" s="3" t="s">
        <v>156</v>
      </c>
      <c r="D46" s="3" t="s">
        <v>69</v>
      </c>
      <c r="E46" s="6">
        <v>1</v>
      </c>
      <c r="F46" s="8">
        <v>1252.76</v>
      </c>
      <c r="G46" s="9">
        <f t="shared" si="1"/>
        <v>1252.76</v>
      </c>
      <c r="H46" s="6" t="s">
        <v>34</v>
      </c>
      <c r="I46" s="6" t="s">
        <v>232</v>
      </c>
      <c r="J46" s="6" t="s">
        <v>225</v>
      </c>
    </row>
    <row r="47" spans="1:10" x14ac:dyDescent="0.25">
      <c r="A47" s="6" t="s">
        <v>323</v>
      </c>
      <c r="B47" s="7">
        <v>46076</v>
      </c>
      <c r="C47" s="3" t="s">
        <v>145</v>
      </c>
      <c r="D47" s="3" t="s">
        <v>57</v>
      </c>
      <c r="E47" s="6">
        <v>6</v>
      </c>
      <c r="F47" s="8">
        <v>32.700000000000003</v>
      </c>
      <c r="G47" s="9">
        <f t="shared" si="1"/>
        <v>196.20000000000002</v>
      </c>
      <c r="H47" s="6" t="s">
        <v>28</v>
      </c>
      <c r="I47" s="6" t="s">
        <v>232</v>
      </c>
      <c r="J47" s="6" t="s">
        <v>225</v>
      </c>
    </row>
    <row r="48" spans="1:10" x14ac:dyDescent="0.25">
      <c r="A48" s="6" t="s">
        <v>324</v>
      </c>
      <c r="B48" s="7">
        <v>46077</v>
      </c>
      <c r="C48" s="3" t="s">
        <v>132</v>
      </c>
      <c r="D48" s="3" t="s">
        <v>73</v>
      </c>
      <c r="E48" s="6">
        <v>2</v>
      </c>
      <c r="F48" s="8">
        <v>257.05</v>
      </c>
      <c r="G48" s="9">
        <f t="shared" si="1"/>
        <v>514.1</v>
      </c>
      <c r="H48" s="6" t="s">
        <v>34</v>
      </c>
      <c r="I48" s="6" t="s">
        <v>280</v>
      </c>
      <c r="J48" s="6" t="s">
        <v>225</v>
      </c>
    </row>
    <row r="49" spans="1:10" x14ac:dyDescent="0.25">
      <c r="A49" s="6" t="s">
        <v>325</v>
      </c>
      <c r="B49" s="7">
        <v>46078</v>
      </c>
      <c r="C49" s="3" t="s">
        <v>132</v>
      </c>
      <c r="D49" s="3" t="s">
        <v>71</v>
      </c>
      <c r="E49" s="6">
        <v>8</v>
      </c>
      <c r="F49" s="8">
        <v>526.20000000000005</v>
      </c>
      <c r="G49" s="9">
        <f t="shared" si="1"/>
        <v>4209.6000000000004</v>
      </c>
      <c r="H49" s="6" t="s">
        <v>34</v>
      </c>
      <c r="I49" s="6" t="s">
        <v>277</v>
      </c>
      <c r="J49" s="6" t="s">
        <v>225</v>
      </c>
    </row>
    <row r="50" spans="1:10" x14ac:dyDescent="0.25">
      <c r="A50" s="6" t="s">
        <v>326</v>
      </c>
      <c r="B50" s="7">
        <v>46079</v>
      </c>
      <c r="C50" s="3" t="s">
        <v>162</v>
      </c>
      <c r="D50" s="3" t="s">
        <v>67</v>
      </c>
      <c r="E50" s="6">
        <v>4</v>
      </c>
      <c r="F50" s="8">
        <v>138.49</v>
      </c>
      <c r="G50" s="9">
        <f t="shared" si="1"/>
        <v>553.96</v>
      </c>
      <c r="H50" s="6" t="s">
        <v>28</v>
      </c>
      <c r="I50" s="6" t="s">
        <v>232</v>
      </c>
      <c r="J50" s="6" t="s">
        <v>225</v>
      </c>
    </row>
    <row r="51" spans="1:10" x14ac:dyDescent="0.25">
      <c r="A51" s="6" t="s">
        <v>327</v>
      </c>
      <c r="B51" s="7">
        <v>46080</v>
      </c>
      <c r="C51" s="3" t="s">
        <v>166</v>
      </c>
      <c r="D51" s="3" t="s">
        <v>53</v>
      </c>
      <c r="E51" s="6">
        <v>1</v>
      </c>
      <c r="F51" s="8">
        <v>97.39</v>
      </c>
      <c r="G51" s="9">
        <f t="shared" si="1"/>
        <v>97.39</v>
      </c>
      <c r="H51" s="6" t="s">
        <v>42</v>
      </c>
      <c r="I51" s="6" t="s">
        <v>277</v>
      </c>
      <c r="J51" s="6" t="s">
        <v>225</v>
      </c>
    </row>
    <row r="52" spans="1:10" x14ac:dyDescent="0.25">
      <c r="A52" s="6" t="s">
        <v>328</v>
      </c>
      <c r="B52" s="7">
        <v>46081</v>
      </c>
      <c r="C52" s="3" t="s">
        <v>168</v>
      </c>
      <c r="D52" s="3" t="s">
        <v>55</v>
      </c>
      <c r="E52" s="6">
        <v>6</v>
      </c>
      <c r="F52" s="8">
        <v>70.52</v>
      </c>
      <c r="G52" s="9">
        <f t="shared" si="1"/>
        <v>423.12</v>
      </c>
      <c r="H52" s="6" t="s">
        <v>34</v>
      </c>
      <c r="I52" s="6" t="s">
        <v>277</v>
      </c>
      <c r="J52" s="6" t="s">
        <v>225</v>
      </c>
    </row>
    <row r="53" spans="1:10" x14ac:dyDescent="0.25">
      <c r="A53" s="6" t="s">
        <v>329</v>
      </c>
      <c r="B53" s="7">
        <v>46082</v>
      </c>
      <c r="C53" s="3" t="s">
        <v>172</v>
      </c>
      <c r="D53" s="3" t="s">
        <v>43</v>
      </c>
      <c r="E53" s="6">
        <v>6</v>
      </c>
      <c r="F53" s="8">
        <v>440.06</v>
      </c>
      <c r="G53" s="9">
        <f t="shared" si="1"/>
        <v>2640.36</v>
      </c>
      <c r="H53" s="6" t="s">
        <v>34</v>
      </c>
      <c r="I53" s="6" t="s">
        <v>280</v>
      </c>
      <c r="J53" s="6" t="s">
        <v>225</v>
      </c>
    </row>
    <row r="54" spans="1:10" x14ac:dyDescent="0.25">
      <c r="A54" s="6" t="s">
        <v>330</v>
      </c>
      <c r="B54" s="7">
        <v>46083</v>
      </c>
      <c r="C54" s="3" t="s">
        <v>170</v>
      </c>
      <c r="D54" s="3" t="s">
        <v>67</v>
      </c>
      <c r="E54" s="6">
        <v>8</v>
      </c>
      <c r="F54" s="8">
        <v>138.49</v>
      </c>
      <c r="G54" s="9">
        <f t="shared" si="1"/>
        <v>1107.92</v>
      </c>
      <c r="H54" s="6" t="s">
        <v>42</v>
      </c>
      <c r="I54" s="6" t="s">
        <v>280</v>
      </c>
      <c r="J54" s="6" t="s">
        <v>225</v>
      </c>
    </row>
    <row r="55" spans="1:10" x14ac:dyDescent="0.25">
      <c r="A55" s="6" t="s">
        <v>331</v>
      </c>
      <c r="B55" s="7">
        <v>46084</v>
      </c>
      <c r="C55" s="3" t="s">
        <v>160</v>
      </c>
      <c r="D55" s="3" t="s">
        <v>69</v>
      </c>
      <c r="E55" s="6">
        <v>3</v>
      </c>
      <c r="F55" s="8">
        <v>1252.76</v>
      </c>
      <c r="G55" s="9">
        <f t="shared" si="1"/>
        <v>3758.2799999999997</v>
      </c>
      <c r="H55" s="6" t="s">
        <v>28</v>
      </c>
      <c r="I55" s="6" t="s">
        <v>277</v>
      </c>
      <c r="J55" s="6" t="s">
        <v>225</v>
      </c>
    </row>
    <row r="56" spans="1:10" x14ac:dyDescent="0.25">
      <c r="A56" s="6" t="s">
        <v>332</v>
      </c>
      <c r="B56" s="7">
        <v>46085</v>
      </c>
      <c r="C56" s="3" t="s">
        <v>168</v>
      </c>
      <c r="D56" s="3" t="s">
        <v>61</v>
      </c>
      <c r="E56" s="6">
        <v>2</v>
      </c>
      <c r="F56" s="8">
        <v>114.26</v>
      </c>
      <c r="G56" s="9">
        <f t="shared" si="1"/>
        <v>228.52</v>
      </c>
      <c r="H56" s="6" t="s">
        <v>34</v>
      </c>
      <c r="I56" s="6" t="s">
        <v>232</v>
      </c>
      <c r="J56" s="6" t="s">
        <v>225</v>
      </c>
    </row>
    <row r="57" spans="1:10" x14ac:dyDescent="0.25">
      <c r="A57" s="6" t="s">
        <v>333</v>
      </c>
      <c r="B57" s="7">
        <v>46086</v>
      </c>
      <c r="C57" s="3" t="s">
        <v>114</v>
      </c>
      <c r="D57" s="3" t="s">
        <v>57</v>
      </c>
      <c r="E57" s="6">
        <v>3</v>
      </c>
      <c r="F57" s="8">
        <v>32.700000000000003</v>
      </c>
      <c r="G57" s="9">
        <f t="shared" si="1"/>
        <v>98.100000000000009</v>
      </c>
      <c r="H57" s="6" t="s">
        <v>42</v>
      </c>
      <c r="I57" s="6" t="s">
        <v>280</v>
      </c>
      <c r="J57" s="6" t="s">
        <v>228</v>
      </c>
    </row>
    <row r="58" spans="1:10" x14ac:dyDescent="0.25">
      <c r="A58" s="6" t="s">
        <v>334</v>
      </c>
      <c r="B58" s="7">
        <v>46087</v>
      </c>
      <c r="C58" s="3" t="s">
        <v>162</v>
      </c>
      <c r="D58" s="3" t="s">
        <v>63</v>
      </c>
      <c r="E58" s="6">
        <v>2</v>
      </c>
      <c r="F58" s="8">
        <v>663.51</v>
      </c>
      <c r="G58" s="9">
        <f t="shared" si="1"/>
        <v>1327.02</v>
      </c>
      <c r="H58" s="6" t="s">
        <v>42</v>
      </c>
      <c r="I58" s="6" t="s">
        <v>280</v>
      </c>
      <c r="J58" s="6" t="s">
        <v>225</v>
      </c>
    </row>
    <row r="59" spans="1:10" x14ac:dyDescent="0.25">
      <c r="A59" s="6" t="s">
        <v>335</v>
      </c>
      <c r="B59" s="7">
        <v>46088</v>
      </c>
      <c r="C59" s="3" t="s">
        <v>152</v>
      </c>
      <c r="D59" s="3" t="s">
        <v>71</v>
      </c>
      <c r="E59" s="6">
        <v>6</v>
      </c>
      <c r="F59" s="8">
        <v>526.20000000000005</v>
      </c>
      <c r="G59" s="9">
        <f t="shared" si="1"/>
        <v>3157.2000000000003</v>
      </c>
      <c r="H59" s="6" t="s">
        <v>34</v>
      </c>
      <c r="I59" s="6" t="s">
        <v>277</v>
      </c>
      <c r="J59" s="6" t="s">
        <v>225</v>
      </c>
    </row>
    <row r="60" spans="1:10" x14ac:dyDescent="0.25">
      <c r="A60" s="6" t="s">
        <v>336</v>
      </c>
      <c r="B60" s="7">
        <v>46089</v>
      </c>
      <c r="C60" s="3" t="s">
        <v>149</v>
      </c>
      <c r="D60" s="3" t="s">
        <v>45</v>
      </c>
      <c r="E60" s="6">
        <v>1</v>
      </c>
      <c r="F60" s="8">
        <v>168.37</v>
      </c>
      <c r="G60" s="9">
        <f t="shared" si="1"/>
        <v>168.37</v>
      </c>
      <c r="H60" s="6" t="s">
        <v>34</v>
      </c>
      <c r="I60" s="6" t="s">
        <v>280</v>
      </c>
      <c r="J60" s="6" t="s">
        <v>225</v>
      </c>
    </row>
    <row r="61" spans="1:10" x14ac:dyDescent="0.25">
      <c r="A61" s="6" t="s">
        <v>337</v>
      </c>
      <c r="B61" s="7">
        <v>46090</v>
      </c>
      <c r="C61" s="3" t="s">
        <v>149</v>
      </c>
      <c r="D61" s="3" t="s">
        <v>67</v>
      </c>
      <c r="E61" s="6">
        <v>8</v>
      </c>
      <c r="F61" s="8">
        <v>138.49</v>
      </c>
      <c r="G61" s="9">
        <f t="shared" si="1"/>
        <v>1107.92</v>
      </c>
      <c r="H61" s="6" t="s">
        <v>34</v>
      </c>
      <c r="I61" s="6" t="s">
        <v>280</v>
      </c>
      <c r="J61" s="6" t="s">
        <v>225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>
      <selection activeCell="J2" sqref="J2"/>
    </sheetView>
  </sheetViews>
  <sheetFormatPr defaultRowHeight="15" x14ac:dyDescent="0.25"/>
  <cols>
    <col min="1" max="1" width="14.5703125" bestFit="1" customWidth="1"/>
    <col min="2" max="2" width="17" bestFit="1" customWidth="1"/>
    <col min="3" max="3" width="11.42578125" bestFit="1" customWidth="1"/>
    <col min="4" max="4" width="8.7109375" bestFit="1" customWidth="1"/>
    <col min="5" max="5" width="20.5703125" bestFit="1" customWidth="1"/>
    <col min="6" max="6" width="17.7109375" bestFit="1" customWidth="1"/>
    <col min="7" max="7" width="18.140625" bestFit="1" customWidth="1"/>
    <col min="8" max="8" width="15.140625" bestFit="1" customWidth="1"/>
    <col min="9" max="9" width="11.28515625" bestFit="1" customWidth="1"/>
  </cols>
  <sheetData>
    <row r="1" spans="1:9" ht="21.95" customHeight="1" x14ac:dyDescent="0.25">
      <c r="A1" s="2" t="s">
        <v>338</v>
      </c>
      <c r="B1" s="2" t="s">
        <v>339</v>
      </c>
      <c r="C1" s="2" t="s">
        <v>12</v>
      </c>
      <c r="D1" s="2" t="s">
        <v>218</v>
      </c>
      <c r="E1" s="2" t="s">
        <v>340</v>
      </c>
      <c r="F1" s="2" t="s">
        <v>341</v>
      </c>
      <c r="G1" s="2" t="s">
        <v>342</v>
      </c>
      <c r="H1" s="2" t="s">
        <v>343</v>
      </c>
      <c r="I1" s="2" t="s">
        <v>21</v>
      </c>
    </row>
    <row r="2" spans="1:9" x14ac:dyDescent="0.25">
      <c r="A2" s="6" t="s">
        <v>344</v>
      </c>
      <c r="B2" s="7">
        <v>46036</v>
      </c>
      <c r="C2" s="3" t="s">
        <v>35</v>
      </c>
      <c r="D2" s="6">
        <v>3</v>
      </c>
      <c r="E2" s="3" t="s">
        <v>34</v>
      </c>
      <c r="F2" s="3" t="s">
        <v>105</v>
      </c>
      <c r="G2" s="3" t="s">
        <v>42</v>
      </c>
      <c r="H2" s="3" t="s">
        <v>97</v>
      </c>
      <c r="I2" s="6" t="s">
        <v>345</v>
      </c>
    </row>
    <row r="3" spans="1:9" x14ac:dyDescent="0.25">
      <c r="A3" s="6" t="s">
        <v>346</v>
      </c>
      <c r="B3" s="7">
        <v>46037</v>
      </c>
      <c r="C3" s="3" t="s">
        <v>55</v>
      </c>
      <c r="D3" s="6">
        <v>5</v>
      </c>
      <c r="E3" s="3" t="s">
        <v>42</v>
      </c>
      <c r="F3" s="3" t="s">
        <v>99</v>
      </c>
      <c r="G3" s="3" t="s">
        <v>28</v>
      </c>
      <c r="H3" s="3" t="s">
        <v>96</v>
      </c>
      <c r="I3" s="6" t="s">
        <v>232</v>
      </c>
    </row>
    <row r="4" spans="1:9" x14ac:dyDescent="0.25">
      <c r="A4" s="6" t="s">
        <v>347</v>
      </c>
      <c r="B4" s="7">
        <v>46038</v>
      </c>
      <c r="C4" s="3" t="s">
        <v>53</v>
      </c>
      <c r="D4" s="6">
        <v>3</v>
      </c>
      <c r="E4" s="3" t="s">
        <v>34</v>
      </c>
      <c r="F4" s="3" t="s">
        <v>105</v>
      </c>
      <c r="G4" s="3" t="s">
        <v>42</v>
      </c>
      <c r="H4" s="3" t="s">
        <v>101</v>
      </c>
      <c r="I4" s="6" t="s">
        <v>232</v>
      </c>
    </row>
    <row r="5" spans="1:9" x14ac:dyDescent="0.25">
      <c r="A5" s="6" t="s">
        <v>348</v>
      </c>
      <c r="B5" s="7">
        <v>46039</v>
      </c>
      <c r="C5" s="3" t="s">
        <v>47</v>
      </c>
      <c r="D5" s="6">
        <v>1</v>
      </c>
      <c r="E5" s="3" t="s">
        <v>42</v>
      </c>
      <c r="F5" s="3" t="s">
        <v>99</v>
      </c>
      <c r="G5" s="3" t="s">
        <v>34</v>
      </c>
      <c r="H5" s="3" t="s">
        <v>104</v>
      </c>
      <c r="I5" s="6" t="s">
        <v>232</v>
      </c>
    </row>
    <row r="6" spans="1:9" x14ac:dyDescent="0.25">
      <c r="A6" s="6" t="s">
        <v>349</v>
      </c>
      <c r="B6" s="7">
        <v>46040</v>
      </c>
      <c r="C6" s="3" t="s">
        <v>81</v>
      </c>
      <c r="D6" s="6">
        <v>2</v>
      </c>
      <c r="E6" s="3" t="s">
        <v>28</v>
      </c>
      <c r="F6" s="3" t="s">
        <v>87</v>
      </c>
      <c r="G6" s="3" t="s">
        <v>42</v>
      </c>
      <c r="H6" s="3" t="s">
        <v>101</v>
      </c>
      <c r="I6" s="6" t="s">
        <v>345</v>
      </c>
    </row>
    <row r="7" spans="1:9" x14ac:dyDescent="0.25">
      <c r="A7" s="6" t="s">
        <v>350</v>
      </c>
      <c r="B7" s="7">
        <v>46041</v>
      </c>
      <c r="C7" s="3" t="s">
        <v>81</v>
      </c>
      <c r="D7" s="6">
        <v>10</v>
      </c>
      <c r="E7" s="3" t="s">
        <v>28</v>
      </c>
      <c r="F7" s="3" t="s">
        <v>93</v>
      </c>
      <c r="G7" s="3" t="s">
        <v>42</v>
      </c>
      <c r="H7" s="3" t="s">
        <v>101</v>
      </c>
      <c r="I7" s="6" t="s">
        <v>232</v>
      </c>
    </row>
    <row r="8" spans="1:9" x14ac:dyDescent="0.25">
      <c r="A8" s="6" t="s">
        <v>351</v>
      </c>
      <c r="B8" s="7">
        <v>46042</v>
      </c>
      <c r="C8" s="3" t="s">
        <v>47</v>
      </c>
      <c r="D8" s="6">
        <v>3</v>
      </c>
      <c r="E8" s="3" t="s">
        <v>42</v>
      </c>
      <c r="F8" s="3" t="s">
        <v>98</v>
      </c>
      <c r="G8" s="3" t="s">
        <v>28</v>
      </c>
      <c r="H8" s="3" t="s">
        <v>93</v>
      </c>
      <c r="I8" s="6" t="s">
        <v>345</v>
      </c>
    </row>
    <row r="9" spans="1:9" x14ac:dyDescent="0.25">
      <c r="A9" s="6" t="s">
        <v>352</v>
      </c>
      <c r="B9" s="7">
        <v>46043</v>
      </c>
      <c r="C9" s="3" t="s">
        <v>49</v>
      </c>
      <c r="D9" s="6">
        <v>1</v>
      </c>
      <c r="E9" s="3" t="s">
        <v>42</v>
      </c>
      <c r="F9" s="3" t="s">
        <v>101</v>
      </c>
      <c r="G9" s="3" t="s">
        <v>28</v>
      </c>
      <c r="H9" s="3" t="s">
        <v>91</v>
      </c>
      <c r="I9" s="6" t="s">
        <v>345</v>
      </c>
    </row>
    <row r="10" spans="1:9" x14ac:dyDescent="0.25">
      <c r="A10" s="6" t="s">
        <v>353</v>
      </c>
      <c r="B10" s="7">
        <v>46044</v>
      </c>
      <c r="C10" s="3" t="s">
        <v>37</v>
      </c>
      <c r="D10" s="6">
        <v>1</v>
      </c>
      <c r="E10" s="3" t="s">
        <v>34</v>
      </c>
      <c r="F10" s="3" t="s">
        <v>103</v>
      </c>
      <c r="G10" s="3" t="s">
        <v>42</v>
      </c>
      <c r="H10" s="3" t="s">
        <v>100</v>
      </c>
      <c r="I10" s="6" t="s">
        <v>232</v>
      </c>
    </row>
    <row r="11" spans="1:9" x14ac:dyDescent="0.25">
      <c r="A11" s="6" t="s">
        <v>354</v>
      </c>
      <c r="B11" s="7">
        <v>46045</v>
      </c>
      <c r="C11" s="3" t="s">
        <v>53</v>
      </c>
      <c r="D11" s="6">
        <v>2</v>
      </c>
      <c r="E11" s="3" t="s">
        <v>42</v>
      </c>
      <c r="F11" s="3" t="s">
        <v>100</v>
      </c>
      <c r="G11" s="3" t="s">
        <v>34</v>
      </c>
      <c r="H11" s="3" t="s">
        <v>105</v>
      </c>
      <c r="I11" s="6" t="s">
        <v>345</v>
      </c>
    </row>
    <row r="12" spans="1:9" x14ac:dyDescent="0.25">
      <c r="A12" s="6" t="s">
        <v>355</v>
      </c>
      <c r="B12" s="7">
        <v>46046</v>
      </c>
      <c r="C12" s="3" t="s">
        <v>57</v>
      </c>
      <c r="D12" s="6">
        <v>5</v>
      </c>
      <c r="E12" s="3" t="s">
        <v>42</v>
      </c>
      <c r="F12" s="3" t="s">
        <v>97</v>
      </c>
      <c r="G12" s="3" t="s">
        <v>34</v>
      </c>
      <c r="H12" s="3" t="s">
        <v>102</v>
      </c>
      <c r="I12" s="6" t="s">
        <v>345</v>
      </c>
    </row>
    <row r="13" spans="1:9" x14ac:dyDescent="0.25">
      <c r="A13" s="6" t="s">
        <v>356</v>
      </c>
      <c r="B13" s="7">
        <v>46047</v>
      </c>
      <c r="C13" s="3" t="s">
        <v>69</v>
      </c>
      <c r="D13" s="6">
        <v>3</v>
      </c>
      <c r="E13" s="3" t="s">
        <v>34</v>
      </c>
      <c r="F13" s="3" t="s">
        <v>103</v>
      </c>
      <c r="G13" s="3" t="s">
        <v>28</v>
      </c>
      <c r="H13" s="3" t="s">
        <v>91</v>
      </c>
      <c r="I13" s="6" t="s">
        <v>345</v>
      </c>
    </row>
    <row r="14" spans="1:9" x14ac:dyDescent="0.25">
      <c r="A14" s="6" t="s">
        <v>357</v>
      </c>
      <c r="B14" s="7">
        <v>46048</v>
      </c>
      <c r="C14" s="3" t="s">
        <v>71</v>
      </c>
      <c r="D14" s="6">
        <v>10</v>
      </c>
      <c r="E14" s="3" t="s">
        <v>28</v>
      </c>
      <c r="F14" s="3" t="s">
        <v>96</v>
      </c>
      <c r="G14" s="3" t="s">
        <v>34</v>
      </c>
      <c r="H14" s="3" t="s">
        <v>105</v>
      </c>
      <c r="I14" s="6" t="s">
        <v>232</v>
      </c>
    </row>
    <row r="15" spans="1:9" x14ac:dyDescent="0.25">
      <c r="A15" s="6" t="s">
        <v>358</v>
      </c>
      <c r="B15" s="7">
        <v>46049</v>
      </c>
      <c r="C15" s="3" t="s">
        <v>51</v>
      </c>
      <c r="D15" s="6">
        <v>10</v>
      </c>
      <c r="E15" s="3" t="s">
        <v>28</v>
      </c>
      <c r="F15" s="3" t="s">
        <v>95</v>
      </c>
      <c r="G15" s="3" t="s">
        <v>42</v>
      </c>
      <c r="H15" s="3" t="s">
        <v>100</v>
      </c>
      <c r="I15" s="6" t="s">
        <v>277</v>
      </c>
    </row>
    <row r="16" spans="1:9" x14ac:dyDescent="0.25">
      <c r="A16" s="6" t="s">
        <v>359</v>
      </c>
      <c r="B16" s="7">
        <v>46050</v>
      </c>
      <c r="C16" s="3" t="s">
        <v>81</v>
      </c>
      <c r="D16" s="6">
        <v>2</v>
      </c>
      <c r="E16" s="3" t="s">
        <v>42</v>
      </c>
      <c r="F16" s="3" t="s">
        <v>101</v>
      </c>
      <c r="G16" s="3" t="s">
        <v>28</v>
      </c>
      <c r="H16" s="3" t="s">
        <v>87</v>
      </c>
      <c r="I16" s="6" t="s">
        <v>232</v>
      </c>
    </row>
    <row r="17" spans="1:9" x14ac:dyDescent="0.25">
      <c r="A17" s="6" t="s">
        <v>360</v>
      </c>
      <c r="B17" s="7">
        <v>46051</v>
      </c>
      <c r="C17" s="3" t="s">
        <v>47</v>
      </c>
      <c r="D17" s="6">
        <v>2</v>
      </c>
      <c r="E17" s="3" t="s">
        <v>28</v>
      </c>
      <c r="F17" s="3" t="s">
        <v>87</v>
      </c>
      <c r="G17" s="3" t="s">
        <v>42</v>
      </c>
      <c r="H17" s="3" t="s">
        <v>98</v>
      </c>
      <c r="I17" s="6" t="s">
        <v>232</v>
      </c>
    </row>
    <row r="18" spans="1:9" x14ac:dyDescent="0.25">
      <c r="A18" s="6" t="s">
        <v>361</v>
      </c>
      <c r="B18" s="7">
        <v>46052</v>
      </c>
      <c r="C18" s="3" t="s">
        <v>61</v>
      </c>
      <c r="D18" s="6">
        <v>10</v>
      </c>
      <c r="E18" s="3" t="s">
        <v>28</v>
      </c>
      <c r="F18" s="3" t="s">
        <v>87</v>
      </c>
      <c r="G18" s="3" t="s">
        <v>34</v>
      </c>
      <c r="H18" s="3" t="s">
        <v>105</v>
      </c>
      <c r="I18" s="6" t="s">
        <v>277</v>
      </c>
    </row>
    <row r="19" spans="1:9" x14ac:dyDescent="0.25">
      <c r="A19" s="6" t="s">
        <v>362</v>
      </c>
      <c r="B19" s="7">
        <v>46053</v>
      </c>
      <c r="C19" s="3" t="s">
        <v>77</v>
      </c>
      <c r="D19" s="6">
        <v>3</v>
      </c>
      <c r="E19" s="3" t="s">
        <v>42</v>
      </c>
      <c r="F19" s="3" t="s">
        <v>98</v>
      </c>
      <c r="G19" s="3" t="s">
        <v>28</v>
      </c>
      <c r="H19" s="3" t="s">
        <v>93</v>
      </c>
      <c r="I19" s="6" t="s">
        <v>232</v>
      </c>
    </row>
    <row r="20" spans="1:9" x14ac:dyDescent="0.25">
      <c r="A20" s="6" t="s">
        <v>363</v>
      </c>
      <c r="B20" s="7">
        <v>46054</v>
      </c>
      <c r="C20" s="3" t="s">
        <v>73</v>
      </c>
      <c r="D20" s="6">
        <v>10</v>
      </c>
      <c r="E20" s="3" t="s">
        <v>42</v>
      </c>
      <c r="F20" s="3" t="s">
        <v>98</v>
      </c>
      <c r="G20" s="3" t="s">
        <v>28</v>
      </c>
      <c r="H20" s="3" t="s">
        <v>93</v>
      </c>
      <c r="I20" s="6" t="s">
        <v>232</v>
      </c>
    </row>
    <row r="21" spans="1:9" x14ac:dyDescent="0.25">
      <c r="A21" s="6" t="s">
        <v>364</v>
      </c>
      <c r="B21" s="7">
        <v>46055</v>
      </c>
      <c r="C21" s="3" t="s">
        <v>47</v>
      </c>
      <c r="D21" s="6">
        <v>2</v>
      </c>
      <c r="E21" s="3" t="s">
        <v>28</v>
      </c>
      <c r="F21" s="3" t="s">
        <v>87</v>
      </c>
      <c r="G21" s="3" t="s">
        <v>42</v>
      </c>
      <c r="H21" s="3" t="s">
        <v>101</v>
      </c>
      <c r="I21" s="6" t="s">
        <v>277</v>
      </c>
    </row>
    <row r="22" spans="1:9" x14ac:dyDescent="0.25">
      <c r="A22" s="6" t="s">
        <v>365</v>
      </c>
      <c r="B22" s="7">
        <v>46056</v>
      </c>
      <c r="C22" s="3" t="s">
        <v>51</v>
      </c>
      <c r="D22" s="6">
        <v>10</v>
      </c>
      <c r="E22" s="3" t="s">
        <v>28</v>
      </c>
      <c r="F22" s="3" t="s">
        <v>87</v>
      </c>
      <c r="G22" s="3" t="s">
        <v>34</v>
      </c>
      <c r="H22" s="3" t="s">
        <v>103</v>
      </c>
      <c r="I22" s="6" t="s">
        <v>232</v>
      </c>
    </row>
    <row r="23" spans="1:9" x14ac:dyDescent="0.25">
      <c r="A23" s="6" t="s">
        <v>366</v>
      </c>
      <c r="B23" s="7">
        <v>46057</v>
      </c>
      <c r="C23" s="3" t="s">
        <v>61</v>
      </c>
      <c r="D23" s="6">
        <v>3</v>
      </c>
      <c r="E23" s="3" t="s">
        <v>34</v>
      </c>
      <c r="F23" s="3" t="s">
        <v>105</v>
      </c>
      <c r="G23" s="3" t="s">
        <v>42</v>
      </c>
      <c r="H23" s="3" t="s">
        <v>97</v>
      </c>
      <c r="I23" s="6" t="s">
        <v>232</v>
      </c>
    </row>
    <row r="24" spans="1:9" x14ac:dyDescent="0.25">
      <c r="A24" s="6" t="s">
        <v>367</v>
      </c>
      <c r="B24" s="7">
        <v>46058</v>
      </c>
      <c r="C24" s="3" t="s">
        <v>63</v>
      </c>
      <c r="D24" s="6">
        <v>5</v>
      </c>
      <c r="E24" s="3" t="s">
        <v>42</v>
      </c>
      <c r="F24" s="3" t="s">
        <v>101</v>
      </c>
      <c r="G24" s="3" t="s">
        <v>34</v>
      </c>
      <c r="H24" s="3" t="s">
        <v>106</v>
      </c>
      <c r="I24" s="6" t="s">
        <v>345</v>
      </c>
    </row>
    <row r="25" spans="1:9" x14ac:dyDescent="0.25">
      <c r="A25" s="6" t="s">
        <v>368</v>
      </c>
      <c r="B25" s="7">
        <v>46059</v>
      </c>
      <c r="C25" s="3" t="s">
        <v>71</v>
      </c>
      <c r="D25" s="6">
        <v>3</v>
      </c>
      <c r="E25" s="3" t="s">
        <v>34</v>
      </c>
      <c r="F25" s="3" t="s">
        <v>105</v>
      </c>
      <c r="G25" s="3" t="s">
        <v>28</v>
      </c>
      <c r="H25" s="3" t="s">
        <v>93</v>
      </c>
      <c r="I25" s="6" t="s">
        <v>345</v>
      </c>
    </row>
    <row r="26" spans="1:9" x14ac:dyDescent="0.25">
      <c r="A26" s="6" t="s">
        <v>369</v>
      </c>
      <c r="B26" s="7">
        <v>46060</v>
      </c>
      <c r="C26" s="3" t="s">
        <v>22</v>
      </c>
      <c r="D26" s="6">
        <v>3</v>
      </c>
      <c r="E26" s="3" t="s">
        <v>28</v>
      </c>
      <c r="F26" s="3" t="s">
        <v>96</v>
      </c>
      <c r="G26" s="3" t="s">
        <v>34</v>
      </c>
      <c r="H26" s="3" t="s">
        <v>106</v>
      </c>
      <c r="I26" s="6" t="s">
        <v>232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workbookViewId="0">
      <selection activeCell="I3" sqref="I3"/>
    </sheetView>
  </sheetViews>
  <sheetFormatPr defaultRowHeight="15" x14ac:dyDescent="0.25"/>
  <cols>
    <col min="1" max="1" width="13.7109375" bestFit="1" customWidth="1"/>
    <col min="2" max="2" width="16.140625" bestFit="1" customWidth="1"/>
    <col min="3" max="3" width="12.7109375" bestFit="1" customWidth="1"/>
    <col min="4" max="4" width="19.42578125" bestFit="1" customWidth="1"/>
    <col min="5" max="5" width="10.42578125" bestFit="1" customWidth="1"/>
    <col min="6" max="6" width="11" bestFit="1" customWidth="1"/>
    <col min="7" max="7" width="15.140625" bestFit="1" customWidth="1"/>
    <col min="8" max="8" width="11" bestFit="1" customWidth="1"/>
  </cols>
  <sheetData>
    <row r="1" spans="1:8" ht="21.95" customHeight="1" x14ac:dyDescent="0.25">
      <c r="A1" s="2" t="s">
        <v>370</v>
      </c>
      <c r="B1" s="2" t="s">
        <v>371</v>
      </c>
      <c r="C1" s="2" t="s">
        <v>372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21</v>
      </c>
    </row>
    <row r="2" spans="1:8" x14ac:dyDescent="0.25">
      <c r="A2" s="10" t="s">
        <v>377</v>
      </c>
      <c r="B2" s="11">
        <v>46028</v>
      </c>
      <c r="C2" s="3" t="s">
        <v>378</v>
      </c>
      <c r="D2" s="10" t="s">
        <v>379</v>
      </c>
      <c r="E2" s="12">
        <v>0</v>
      </c>
      <c r="F2" s="12">
        <v>100</v>
      </c>
      <c r="G2" s="3" t="s">
        <v>380</v>
      </c>
      <c r="H2" s="10" t="s">
        <v>381</v>
      </c>
    </row>
    <row r="3" spans="1:8" x14ac:dyDescent="0.25">
      <c r="A3" s="10" t="s">
        <v>382</v>
      </c>
      <c r="B3" s="11">
        <v>46029</v>
      </c>
      <c r="C3" s="3" t="s">
        <v>383</v>
      </c>
      <c r="D3" s="10" t="s">
        <v>384</v>
      </c>
      <c r="E3" s="12">
        <v>0</v>
      </c>
      <c r="F3" s="12">
        <v>100</v>
      </c>
      <c r="G3" s="3" t="s">
        <v>380</v>
      </c>
      <c r="H3" s="10" t="s">
        <v>381</v>
      </c>
    </row>
    <row r="4" spans="1:8" x14ac:dyDescent="0.25">
      <c r="A4" s="10" t="s">
        <v>385</v>
      </c>
      <c r="B4" s="11">
        <v>46030</v>
      </c>
      <c r="C4" s="3" t="s">
        <v>386</v>
      </c>
      <c r="D4" s="10" t="s">
        <v>387</v>
      </c>
      <c r="E4" s="12">
        <v>0</v>
      </c>
      <c r="F4" s="12">
        <v>750</v>
      </c>
      <c r="G4" s="3" t="s">
        <v>380</v>
      </c>
      <c r="H4" s="10" t="s">
        <v>381</v>
      </c>
    </row>
    <row r="5" spans="1:8" x14ac:dyDescent="0.25">
      <c r="A5" s="10" t="s">
        <v>388</v>
      </c>
      <c r="B5" s="11">
        <v>46031</v>
      </c>
      <c r="C5" s="3" t="s">
        <v>389</v>
      </c>
      <c r="D5" s="10" t="s">
        <v>390</v>
      </c>
      <c r="E5" s="12">
        <v>350</v>
      </c>
      <c r="F5" s="12">
        <v>0</v>
      </c>
      <c r="G5" s="3" t="s">
        <v>391</v>
      </c>
      <c r="H5" s="10" t="s">
        <v>381</v>
      </c>
    </row>
    <row r="6" spans="1:8" x14ac:dyDescent="0.25">
      <c r="A6" s="10" t="s">
        <v>392</v>
      </c>
      <c r="B6" s="11">
        <v>46032</v>
      </c>
      <c r="C6" s="3" t="s">
        <v>389</v>
      </c>
      <c r="D6" s="10" t="s">
        <v>390</v>
      </c>
      <c r="E6" s="12">
        <v>0</v>
      </c>
      <c r="F6" s="12">
        <v>500</v>
      </c>
      <c r="G6" s="3" t="s">
        <v>393</v>
      </c>
      <c r="H6" s="10" t="s">
        <v>381</v>
      </c>
    </row>
    <row r="7" spans="1:8" x14ac:dyDescent="0.25">
      <c r="A7" s="10" t="s">
        <v>394</v>
      </c>
      <c r="B7" s="11">
        <v>46033</v>
      </c>
      <c r="C7" s="3" t="s">
        <v>395</v>
      </c>
      <c r="D7" s="10" t="s">
        <v>396</v>
      </c>
      <c r="E7" s="12">
        <v>1000</v>
      </c>
      <c r="F7" s="12">
        <v>0</v>
      </c>
      <c r="G7" s="3" t="s">
        <v>380</v>
      </c>
      <c r="H7" s="10" t="s">
        <v>381</v>
      </c>
    </row>
    <row r="8" spans="1:8" x14ac:dyDescent="0.25">
      <c r="A8" s="10" t="s">
        <v>397</v>
      </c>
      <c r="B8" s="11">
        <v>46034</v>
      </c>
      <c r="C8" s="3" t="s">
        <v>386</v>
      </c>
      <c r="D8" s="10" t="s">
        <v>387</v>
      </c>
      <c r="E8" s="12">
        <v>0</v>
      </c>
      <c r="F8" s="12">
        <v>350</v>
      </c>
      <c r="G8" s="3" t="s">
        <v>393</v>
      </c>
      <c r="H8" s="10" t="s">
        <v>381</v>
      </c>
    </row>
    <row r="9" spans="1:8" x14ac:dyDescent="0.25">
      <c r="A9" s="10" t="s">
        <v>398</v>
      </c>
      <c r="B9" s="11">
        <v>46035</v>
      </c>
      <c r="C9" s="3" t="s">
        <v>386</v>
      </c>
      <c r="D9" s="10" t="s">
        <v>387</v>
      </c>
      <c r="E9" s="12">
        <v>500</v>
      </c>
      <c r="F9" s="12">
        <v>0</v>
      </c>
      <c r="G9" s="3" t="s">
        <v>380</v>
      </c>
      <c r="H9" s="10" t="s">
        <v>381</v>
      </c>
    </row>
    <row r="10" spans="1:8" x14ac:dyDescent="0.25">
      <c r="A10" s="10" t="s">
        <v>399</v>
      </c>
      <c r="B10" s="11">
        <v>46036</v>
      </c>
      <c r="C10" s="3" t="s">
        <v>395</v>
      </c>
      <c r="D10" s="10" t="s">
        <v>396</v>
      </c>
      <c r="E10" s="12">
        <v>50</v>
      </c>
      <c r="F10" s="12">
        <v>0</v>
      </c>
      <c r="G10" s="3" t="s">
        <v>393</v>
      </c>
      <c r="H10" s="10" t="s">
        <v>381</v>
      </c>
    </row>
    <row r="11" spans="1:8" x14ac:dyDescent="0.25">
      <c r="A11" s="10" t="s">
        <v>400</v>
      </c>
      <c r="B11" s="11">
        <v>46037</v>
      </c>
      <c r="C11" s="3" t="s">
        <v>401</v>
      </c>
      <c r="D11" s="10" t="s">
        <v>402</v>
      </c>
      <c r="E11" s="12">
        <v>750</v>
      </c>
      <c r="F11" s="12">
        <v>0</v>
      </c>
      <c r="G11" s="3" t="s">
        <v>391</v>
      </c>
      <c r="H11" s="10" t="s">
        <v>381</v>
      </c>
    </row>
    <row r="12" spans="1:8" x14ac:dyDescent="0.25">
      <c r="A12" s="10" t="s">
        <v>403</v>
      </c>
      <c r="B12" s="11">
        <v>46038</v>
      </c>
      <c r="C12" s="3" t="s">
        <v>383</v>
      </c>
      <c r="D12" s="10" t="s">
        <v>384</v>
      </c>
      <c r="E12" s="12">
        <v>1000</v>
      </c>
      <c r="F12" s="12">
        <v>0</v>
      </c>
      <c r="G12" s="3" t="s">
        <v>393</v>
      </c>
      <c r="H12" s="10" t="s">
        <v>381</v>
      </c>
    </row>
    <row r="13" spans="1:8" x14ac:dyDescent="0.25">
      <c r="A13" s="10" t="s">
        <v>404</v>
      </c>
      <c r="B13" s="11">
        <v>46039</v>
      </c>
      <c r="C13" s="3" t="s">
        <v>401</v>
      </c>
      <c r="D13" s="10" t="s">
        <v>402</v>
      </c>
      <c r="E13" s="12">
        <v>750</v>
      </c>
      <c r="F13" s="12">
        <v>0</v>
      </c>
      <c r="G13" s="3" t="s">
        <v>405</v>
      </c>
      <c r="H13" s="10" t="s">
        <v>381</v>
      </c>
    </row>
    <row r="14" spans="1:8" x14ac:dyDescent="0.25">
      <c r="A14" s="10" t="s">
        <v>406</v>
      </c>
      <c r="B14" s="11">
        <v>46040</v>
      </c>
      <c r="C14" s="3" t="s">
        <v>407</v>
      </c>
      <c r="D14" s="10" t="s">
        <v>408</v>
      </c>
      <c r="E14" s="12">
        <v>0</v>
      </c>
      <c r="F14" s="12">
        <v>100</v>
      </c>
      <c r="G14" s="3" t="s">
        <v>405</v>
      </c>
      <c r="H14" s="10" t="s">
        <v>381</v>
      </c>
    </row>
    <row r="15" spans="1:8" x14ac:dyDescent="0.25">
      <c r="A15" s="10" t="s">
        <v>409</v>
      </c>
      <c r="B15" s="11">
        <v>46041</v>
      </c>
      <c r="C15" s="3" t="s">
        <v>395</v>
      </c>
      <c r="D15" s="10" t="s">
        <v>396</v>
      </c>
      <c r="E15" s="12">
        <v>75</v>
      </c>
      <c r="F15" s="12">
        <v>0</v>
      </c>
      <c r="G15" s="3" t="s">
        <v>405</v>
      </c>
      <c r="H15" s="10" t="s">
        <v>381</v>
      </c>
    </row>
    <row r="16" spans="1:8" x14ac:dyDescent="0.25">
      <c r="A16" s="10" t="s">
        <v>410</v>
      </c>
      <c r="B16" s="11">
        <v>46042</v>
      </c>
      <c r="C16" s="3" t="s">
        <v>401</v>
      </c>
      <c r="D16" s="10" t="s">
        <v>402</v>
      </c>
      <c r="E16" s="12">
        <v>75</v>
      </c>
      <c r="F16" s="12">
        <v>0</v>
      </c>
      <c r="G16" s="3" t="s">
        <v>380</v>
      </c>
      <c r="H16" s="10" t="s">
        <v>381</v>
      </c>
    </row>
    <row r="17" spans="1:8" x14ac:dyDescent="0.25">
      <c r="A17" s="10" t="s">
        <v>411</v>
      </c>
      <c r="B17" s="11">
        <v>46043</v>
      </c>
      <c r="C17" s="3" t="s">
        <v>383</v>
      </c>
      <c r="D17" s="10" t="s">
        <v>384</v>
      </c>
      <c r="E17" s="12">
        <v>0</v>
      </c>
      <c r="F17" s="12">
        <v>1000</v>
      </c>
      <c r="G17" s="3" t="s">
        <v>380</v>
      </c>
      <c r="H17" s="10" t="s">
        <v>381</v>
      </c>
    </row>
    <row r="18" spans="1:8" x14ac:dyDescent="0.25">
      <c r="A18" s="10" t="s">
        <v>412</v>
      </c>
      <c r="B18" s="11">
        <v>46044</v>
      </c>
      <c r="C18" s="3" t="s">
        <v>401</v>
      </c>
      <c r="D18" s="10" t="s">
        <v>402</v>
      </c>
      <c r="E18" s="12">
        <v>750</v>
      </c>
      <c r="F18" s="12">
        <v>0</v>
      </c>
      <c r="G18" s="3" t="s">
        <v>380</v>
      </c>
      <c r="H18" s="10" t="s">
        <v>381</v>
      </c>
    </row>
    <row r="19" spans="1:8" x14ac:dyDescent="0.25">
      <c r="A19" s="10" t="s">
        <v>413</v>
      </c>
      <c r="B19" s="11">
        <v>46045</v>
      </c>
      <c r="C19" s="3" t="s">
        <v>414</v>
      </c>
      <c r="D19" s="10" t="s">
        <v>415</v>
      </c>
      <c r="E19" s="12">
        <v>500</v>
      </c>
      <c r="F19" s="12">
        <v>0</v>
      </c>
      <c r="G19" s="3" t="s">
        <v>391</v>
      </c>
      <c r="H19" s="10" t="s">
        <v>381</v>
      </c>
    </row>
    <row r="20" spans="1:8" x14ac:dyDescent="0.25">
      <c r="A20" s="10" t="s">
        <v>416</v>
      </c>
      <c r="B20" s="11">
        <v>46046</v>
      </c>
      <c r="C20" s="3" t="s">
        <v>386</v>
      </c>
      <c r="D20" s="10" t="s">
        <v>387</v>
      </c>
      <c r="E20" s="12">
        <v>0</v>
      </c>
      <c r="F20" s="12">
        <v>200</v>
      </c>
      <c r="G20" s="3" t="s">
        <v>393</v>
      </c>
      <c r="H20" s="10" t="s">
        <v>381</v>
      </c>
    </row>
    <row r="21" spans="1:8" x14ac:dyDescent="0.25">
      <c r="A21" s="10" t="s">
        <v>417</v>
      </c>
      <c r="B21" s="11">
        <v>46047</v>
      </c>
      <c r="C21" s="3" t="s">
        <v>383</v>
      </c>
      <c r="D21" s="10" t="s">
        <v>384</v>
      </c>
      <c r="E21" s="12">
        <v>0</v>
      </c>
      <c r="F21" s="12">
        <v>50</v>
      </c>
      <c r="G21" s="3" t="s">
        <v>393</v>
      </c>
      <c r="H21" s="10" t="s">
        <v>381</v>
      </c>
    </row>
    <row r="22" spans="1:8" x14ac:dyDescent="0.25">
      <c r="A22" s="10" t="s">
        <v>418</v>
      </c>
      <c r="B22" s="11">
        <v>46048</v>
      </c>
      <c r="C22" s="3" t="s">
        <v>401</v>
      </c>
      <c r="D22" s="10" t="s">
        <v>402</v>
      </c>
      <c r="E22" s="12">
        <v>0</v>
      </c>
      <c r="F22" s="12">
        <v>100</v>
      </c>
      <c r="G22" s="3" t="s">
        <v>380</v>
      </c>
      <c r="H22" s="10" t="s">
        <v>381</v>
      </c>
    </row>
    <row r="23" spans="1:8" x14ac:dyDescent="0.25">
      <c r="A23" s="10" t="s">
        <v>419</v>
      </c>
      <c r="B23" s="11">
        <v>46049</v>
      </c>
      <c r="C23" s="3" t="s">
        <v>389</v>
      </c>
      <c r="D23" s="10" t="s">
        <v>390</v>
      </c>
      <c r="E23" s="12">
        <v>0</v>
      </c>
      <c r="F23" s="12">
        <v>350</v>
      </c>
      <c r="G23" s="3" t="s">
        <v>380</v>
      </c>
      <c r="H23" s="10" t="s">
        <v>381</v>
      </c>
    </row>
    <row r="24" spans="1:8" x14ac:dyDescent="0.25">
      <c r="A24" s="10" t="s">
        <v>420</v>
      </c>
      <c r="B24" s="11">
        <v>46050</v>
      </c>
      <c r="C24" s="3" t="s">
        <v>389</v>
      </c>
      <c r="D24" s="10" t="s">
        <v>390</v>
      </c>
      <c r="E24" s="12">
        <v>125</v>
      </c>
      <c r="F24" s="12">
        <v>0</v>
      </c>
      <c r="G24" s="3" t="s">
        <v>380</v>
      </c>
      <c r="H24" s="10" t="s">
        <v>381</v>
      </c>
    </row>
    <row r="25" spans="1:8" x14ac:dyDescent="0.25">
      <c r="A25" s="10" t="s">
        <v>421</v>
      </c>
      <c r="B25" s="11">
        <v>46051</v>
      </c>
      <c r="C25" s="3" t="s">
        <v>407</v>
      </c>
      <c r="D25" s="10" t="s">
        <v>408</v>
      </c>
      <c r="E25" s="12">
        <v>500</v>
      </c>
      <c r="F25" s="12">
        <v>0</v>
      </c>
      <c r="G25" s="3" t="s">
        <v>393</v>
      </c>
      <c r="H25" s="10" t="s">
        <v>381</v>
      </c>
    </row>
    <row r="26" spans="1:8" x14ac:dyDescent="0.25">
      <c r="A26" s="10" t="s">
        <v>422</v>
      </c>
      <c r="B26" s="11">
        <v>46052</v>
      </c>
      <c r="C26" s="3" t="s">
        <v>401</v>
      </c>
      <c r="D26" s="10" t="s">
        <v>402</v>
      </c>
      <c r="E26" s="12">
        <v>0</v>
      </c>
      <c r="F26" s="12">
        <v>500</v>
      </c>
      <c r="G26" s="3" t="s">
        <v>391</v>
      </c>
      <c r="H26" s="10" t="s">
        <v>381</v>
      </c>
    </row>
    <row r="27" spans="1:8" x14ac:dyDescent="0.25">
      <c r="A27" s="10" t="s">
        <v>423</v>
      </c>
      <c r="B27" s="11">
        <v>46053</v>
      </c>
      <c r="C27" s="3" t="s">
        <v>401</v>
      </c>
      <c r="D27" s="10" t="s">
        <v>402</v>
      </c>
      <c r="E27" s="12">
        <v>50</v>
      </c>
      <c r="F27" s="12">
        <v>0</v>
      </c>
      <c r="G27" s="3" t="s">
        <v>393</v>
      </c>
      <c r="H27" s="10" t="s">
        <v>381</v>
      </c>
    </row>
    <row r="28" spans="1:8" x14ac:dyDescent="0.25">
      <c r="A28" s="10" t="s">
        <v>424</v>
      </c>
      <c r="B28" s="11">
        <v>46054</v>
      </c>
      <c r="C28" s="3" t="s">
        <v>386</v>
      </c>
      <c r="D28" s="10" t="s">
        <v>387</v>
      </c>
      <c r="E28" s="12">
        <v>750</v>
      </c>
      <c r="F28" s="12">
        <v>0</v>
      </c>
      <c r="G28" s="3" t="s">
        <v>380</v>
      </c>
      <c r="H28" s="10" t="s">
        <v>381</v>
      </c>
    </row>
    <row r="29" spans="1:8" x14ac:dyDescent="0.25">
      <c r="A29" s="10" t="s">
        <v>425</v>
      </c>
      <c r="B29" s="11">
        <v>46055</v>
      </c>
      <c r="C29" s="3" t="s">
        <v>378</v>
      </c>
      <c r="D29" s="10" t="s">
        <v>379</v>
      </c>
      <c r="E29" s="12">
        <v>0</v>
      </c>
      <c r="F29" s="12">
        <v>100</v>
      </c>
      <c r="G29" s="3" t="s">
        <v>391</v>
      </c>
      <c r="H29" s="10" t="s">
        <v>381</v>
      </c>
    </row>
    <row r="30" spans="1:8" x14ac:dyDescent="0.25">
      <c r="A30" s="10" t="s">
        <v>426</v>
      </c>
      <c r="B30" s="11">
        <v>46056</v>
      </c>
      <c r="C30" s="3" t="s">
        <v>386</v>
      </c>
      <c r="D30" s="10" t="s">
        <v>387</v>
      </c>
      <c r="E30" s="12">
        <v>0</v>
      </c>
      <c r="F30" s="12">
        <v>750</v>
      </c>
      <c r="G30" s="3" t="s">
        <v>393</v>
      </c>
      <c r="H30" s="10" t="s">
        <v>381</v>
      </c>
    </row>
    <row r="31" spans="1:8" x14ac:dyDescent="0.25">
      <c r="A31" s="10" t="s">
        <v>427</v>
      </c>
      <c r="B31" s="11">
        <v>46057</v>
      </c>
      <c r="C31" s="3" t="s">
        <v>395</v>
      </c>
      <c r="D31" s="10" t="s">
        <v>396</v>
      </c>
      <c r="E31" s="12">
        <v>0</v>
      </c>
      <c r="F31" s="12">
        <v>75</v>
      </c>
      <c r="G31" s="3" t="s">
        <v>380</v>
      </c>
      <c r="H31" s="10" t="s">
        <v>381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activeCell="J2" sqref="J2"/>
    </sheetView>
  </sheetViews>
  <sheetFormatPr defaultRowHeight="15" x14ac:dyDescent="0.25"/>
  <cols>
    <col min="1" max="1" width="15.140625" bestFit="1" customWidth="1"/>
    <col min="2" max="2" width="17.7109375" bestFit="1" customWidth="1"/>
    <col min="3" max="3" width="14.42578125" bestFit="1" customWidth="1"/>
    <col min="4" max="4" width="11.85546875" bestFit="1" customWidth="1"/>
    <col min="5" max="5" width="16.42578125" bestFit="1" customWidth="1"/>
    <col min="6" max="6" width="20.7109375" bestFit="1" customWidth="1"/>
    <col min="7" max="7" width="12.7109375" bestFit="1" customWidth="1"/>
    <col min="8" max="8" width="13.42578125" bestFit="1" customWidth="1"/>
    <col min="9" max="9" width="11" bestFit="1" customWidth="1"/>
  </cols>
  <sheetData>
    <row r="1" spans="1:9" ht="21.95" customHeight="1" x14ac:dyDescent="0.25">
      <c r="A1" s="2" t="s">
        <v>428</v>
      </c>
      <c r="B1" s="2" t="s">
        <v>429</v>
      </c>
      <c r="C1" s="2" t="s">
        <v>430</v>
      </c>
      <c r="D1" s="2" t="s">
        <v>431</v>
      </c>
      <c r="E1" s="2" t="s">
        <v>432</v>
      </c>
      <c r="F1" s="2" t="s">
        <v>433</v>
      </c>
      <c r="G1" s="2" t="s">
        <v>434</v>
      </c>
      <c r="H1" s="2" t="s">
        <v>110</v>
      </c>
      <c r="I1" s="2" t="s">
        <v>21</v>
      </c>
    </row>
    <row r="2" spans="1:9" x14ac:dyDescent="0.25">
      <c r="A2" s="6" t="s">
        <v>435</v>
      </c>
      <c r="B2" s="7">
        <v>46066</v>
      </c>
      <c r="C2" s="6" t="s">
        <v>436</v>
      </c>
      <c r="D2" s="3" t="s">
        <v>206</v>
      </c>
      <c r="E2" s="3" t="s">
        <v>223</v>
      </c>
      <c r="F2" s="6" t="s">
        <v>437</v>
      </c>
      <c r="G2" s="9">
        <f>PurchaseOrders!G2</f>
        <v>200</v>
      </c>
      <c r="H2" s="6" t="s">
        <v>117</v>
      </c>
      <c r="I2" s="6" t="s">
        <v>381</v>
      </c>
    </row>
    <row r="3" spans="1:9" x14ac:dyDescent="0.25">
      <c r="A3" s="6" t="s">
        <v>438</v>
      </c>
      <c r="B3" s="7">
        <v>46067</v>
      </c>
      <c r="C3" s="6" t="s">
        <v>436</v>
      </c>
      <c r="D3" s="3" t="s">
        <v>191</v>
      </c>
      <c r="E3" s="3" t="s">
        <v>226</v>
      </c>
      <c r="F3" s="6" t="s">
        <v>439</v>
      </c>
      <c r="G3" s="9">
        <f>PurchaseOrders!G3</f>
        <v>10000</v>
      </c>
      <c r="H3" s="6" t="s">
        <v>117</v>
      </c>
      <c r="I3" s="6" t="s">
        <v>381</v>
      </c>
    </row>
    <row r="4" spans="1:9" x14ac:dyDescent="0.25">
      <c r="A4" s="6" t="s">
        <v>440</v>
      </c>
      <c r="B4" s="7">
        <v>46068</v>
      </c>
      <c r="C4" s="6" t="s">
        <v>436</v>
      </c>
      <c r="D4" s="3" t="s">
        <v>206</v>
      </c>
      <c r="E4" s="3" t="s">
        <v>229</v>
      </c>
      <c r="F4" s="6" t="s">
        <v>439</v>
      </c>
      <c r="G4" s="9">
        <f>PurchaseOrders!G4</f>
        <v>750</v>
      </c>
      <c r="H4" s="6" t="s">
        <v>117</v>
      </c>
      <c r="I4" s="6" t="s">
        <v>381</v>
      </c>
    </row>
    <row r="5" spans="1:9" x14ac:dyDescent="0.25">
      <c r="A5" s="6" t="s">
        <v>441</v>
      </c>
      <c r="B5" s="7">
        <v>46069</v>
      </c>
      <c r="C5" s="6" t="s">
        <v>436</v>
      </c>
      <c r="D5" s="3" t="s">
        <v>212</v>
      </c>
      <c r="E5" s="3" t="s">
        <v>230</v>
      </c>
      <c r="F5" s="6" t="s">
        <v>437</v>
      </c>
      <c r="G5" s="9">
        <f>PurchaseOrders!G5</f>
        <v>3600</v>
      </c>
      <c r="H5" s="6" t="s">
        <v>117</v>
      </c>
      <c r="I5" s="6" t="s">
        <v>381</v>
      </c>
    </row>
    <row r="6" spans="1:9" x14ac:dyDescent="0.25">
      <c r="A6" s="6" t="s">
        <v>442</v>
      </c>
      <c r="B6" s="7">
        <v>46070</v>
      </c>
      <c r="C6" s="6" t="s">
        <v>436</v>
      </c>
      <c r="D6" s="3" t="s">
        <v>182</v>
      </c>
      <c r="E6" s="3" t="s">
        <v>231</v>
      </c>
      <c r="F6" s="6" t="s">
        <v>439</v>
      </c>
      <c r="G6" s="9">
        <f>PurchaseOrders!G6</f>
        <v>540</v>
      </c>
      <c r="H6" s="6" t="s">
        <v>117</v>
      </c>
      <c r="I6" s="6" t="s">
        <v>381</v>
      </c>
    </row>
    <row r="7" spans="1:9" x14ac:dyDescent="0.25">
      <c r="A7" s="6" t="s">
        <v>443</v>
      </c>
      <c r="B7" s="7">
        <v>46071</v>
      </c>
      <c r="C7" s="6" t="s">
        <v>436</v>
      </c>
      <c r="D7" s="3" t="s">
        <v>191</v>
      </c>
      <c r="E7" s="3" t="s">
        <v>233</v>
      </c>
      <c r="F7" s="6" t="s">
        <v>444</v>
      </c>
      <c r="G7" s="9">
        <f>PurchaseOrders!G7</f>
        <v>2000</v>
      </c>
      <c r="H7" s="6" t="s">
        <v>117</v>
      </c>
      <c r="I7" s="6" t="s">
        <v>381</v>
      </c>
    </row>
    <row r="8" spans="1:9" x14ac:dyDescent="0.25">
      <c r="A8" s="6" t="s">
        <v>445</v>
      </c>
      <c r="B8" s="7">
        <v>46072</v>
      </c>
      <c r="C8" s="6" t="s">
        <v>436</v>
      </c>
      <c r="D8" s="3" t="s">
        <v>189</v>
      </c>
      <c r="E8" s="3" t="s">
        <v>234</v>
      </c>
      <c r="F8" s="6" t="s">
        <v>439</v>
      </c>
      <c r="G8" s="9">
        <f>PurchaseOrders!G8</f>
        <v>7500</v>
      </c>
      <c r="H8" s="6" t="s">
        <v>117</v>
      </c>
      <c r="I8" s="6" t="s">
        <v>381</v>
      </c>
    </row>
    <row r="9" spans="1:9" x14ac:dyDescent="0.25">
      <c r="A9" s="6" t="s">
        <v>446</v>
      </c>
      <c r="B9" s="7">
        <v>46073</v>
      </c>
      <c r="C9" s="6" t="s">
        <v>436</v>
      </c>
      <c r="D9" s="3" t="s">
        <v>210</v>
      </c>
      <c r="E9" s="3" t="s">
        <v>235</v>
      </c>
      <c r="F9" s="6" t="s">
        <v>444</v>
      </c>
      <c r="G9" s="9">
        <f>PurchaseOrders!G9</f>
        <v>2400</v>
      </c>
      <c r="H9" s="6" t="s">
        <v>117</v>
      </c>
      <c r="I9" s="6" t="s">
        <v>381</v>
      </c>
    </row>
    <row r="10" spans="1:9" x14ac:dyDescent="0.25">
      <c r="A10" s="6" t="s">
        <v>447</v>
      </c>
      <c r="B10" s="7">
        <v>46074</v>
      </c>
      <c r="C10" s="6" t="s">
        <v>436</v>
      </c>
      <c r="D10" s="3" t="s">
        <v>185</v>
      </c>
      <c r="E10" s="3" t="s">
        <v>236</v>
      </c>
      <c r="F10" s="6" t="s">
        <v>444</v>
      </c>
      <c r="G10" s="9">
        <f>PurchaseOrders!G10</f>
        <v>360</v>
      </c>
      <c r="H10" s="6" t="s">
        <v>117</v>
      </c>
      <c r="I10" s="6" t="s">
        <v>381</v>
      </c>
    </row>
    <row r="11" spans="1:9" x14ac:dyDescent="0.25">
      <c r="A11" s="6" t="s">
        <v>448</v>
      </c>
      <c r="B11" s="7">
        <v>46075</v>
      </c>
      <c r="C11" s="6" t="s">
        <v>436</v>
      </c>
      <c r="D11" s="3" t="s">
        <v>191</v>
      </c>
      <c r="E11" s="3" t="s">
        <v>237</v>
      </c>
      <c r="F11" s="6" t="s">
        <v>439</v>
      </c>
      <c r="G11" s="9">
        <f>PurchaseOrders!G11</f>
        <v>10000</v>
      </c>
      <c r="H11" s="6" t="s">
        <v>117</v>
      </c>
      <c r="I11" s="6" t="s">
        <v>381</v>
      </c>
    </row>
    <row r="12" spans="1:9" x14ac:dyDescent="0.25">
      <c r="A12" s="6" t="s">
        <v>449</v>
      </c>
      <c r="B12" s="7">
        <v>46081</v>
      </c>
      <c r="C12" s="6" t="s">
        <v>450</v>
      </c>
      <c r="D12" s="3" t="s">
        <v>145</v>
      </c>
      <c r="E12" s="3" t="s">
        <v>276</v>
      </c>
      <c r="F12" s="6" t="s">
        <v>439</v>
      </c>
      <c r="G12" s="9">
        <f>SalesOrders!G2</f>
        <v>163.5</v>
      </c>
      <c r="H12" s="6" t="s">
        <v>117</v>
      </c>
      <c r="I12" s="6" t="s">
        <v>381</v>
      </c>
    </row>
    <row r="13" spans="1:9" x14ac:dyDescent="0.25">
      <c r="A13" s="6" t="s">
        <v>451</v>
      </c>
      <c r="B13" s="7">
        <v>46082</v>
      </c>
      <c r="C13" s="6" t="s">
        <v>450</v>
      </c>
      <c r="D13" s="3" t="s">
        <v>172</v>
      </c>
      <c r="E13" s="3" t="s">
        <v>278</v>
      </c>
      <c r="F13" s="6" t="s">
        <v>452</v>
      </c>
      <c r="G13" s="9">
        <f>SalesOrders!G3</f>
        <v>276.49</v>
      </c>
      <c r="H13" s="6" t="s">
        <v>117</v>
      </c>
      <c r="I13" s="6" t="s">
        <v>381</v>
      </c>
    </row>
    <row r="14" spans="1:9" x14ac:dyDescent="0.25">
      <c r="A14" s="6" t="s">
        <v>453</v>
      </c>
      <c r="B14" s="7">
        <v>46083</v>
      </c>
      <c r="C14" s="6" t="s">
        <v>450</v>
      </c>
      <c r="D14" s="3" t="s">
        <v>145</v>
      </c>
      <c r="E14" s="3" t="s">
        <v>279</v>
      </c>
      <c r="F14" s="6" t="s">
        <v>454</v>
      </c>
      <c r="G14" s="9">
        <f>SalesOrders!G4</f>
        <v>458.70000000000005</v>
      </c>
      <c r="H14" s="6" t="s">
        <v>117</v>
      </c>
      <c r="I14" s="6" t="s">
        <v>381</v>
      </c>
    </row>
    <row r="15" spans="1:9" x14ac:dyDescent="0.25">
      <c r="A15" s="6" t="s">
        <v>455</v>
      </c>
      <c r="B15" s="7">
        <v>46084</v>
      </c>
      <c r="C15" s="6" t="s">
        <v>450</v>
      </c>
      <c r="D15" s="3" t="s">
        <v>178</v>
      </c>
      <c r="E15" s="3" t="s">
        <v>281</v>
      </c>
      <c r="F15" s="6" t="s">
        <v>439</v>
      </c>
      <c r="G15" s="9">
        <f>SalesOrders!G5</f>
        <v>236.31</v>
      </c>
      <c r="H15" s="6" t="s">
        <v>117</v>
      </c>
      <c r="I15" s="6" t="s">
        <v>381</v>
      </c>
    </row>
    <row r="16" spans="1:9" x14ac:dyDescent="0.25">
      <c r="A16" s="6" t="s">
        <v>456</v>
      </c>
      <c r="B16" s="7">
        <v>46085</v>
      </c>
      <c r="C16" s="6" t="s">
        <v>450</v>
      </c>
      <c r="D16" s="3" t="s">
        <v>172</v>
      </c>
      <c r="E16" s="3" t="s">
        <v>282</v>
      </c>
      <c r="F16" s="6" t="s">
        <v>454</v>
      </c>
      <c r="G16" s="9">
        <f>SalesOrders!G6</f>
        <v>229.35000000000002</v>
      </c>
      <c r="H16" s="6" t="s">
        <v>117</v>
      </c>
      <c r="I16" s="6" t="s">
        <v>381</v>
      </c>
    </row>
    <row r="17" spans="1:9" x14ac:dyDescent="0.25">
      <c r="A17" s="6" t="s">
        <v>457</v>
      </c>
      <c r="B17" s="7">
        <v>46086</v>
      </c>
      <c r="C17" s="6" t="s">
        <v>450</v>
      </c>
      <c r="D17" s="3" t="s">
        <v>156</v>
      </c>
      <c r="E17" s="3" t="s">
        <v>283</v>
      </c>
      <c r="F17" s="6" t="s">
        <v>452</v>
      </c>
      <c r="G17" s="9">
        <f>SalesOrders!G7</f>
        <v>389.56</v>
      </c>
      <c r="H17" s="6" t="s">
        <v>117</v>
      </c>
      <c r="I17" s="6" t="s">
        <v>381</v>
      </c>
    </row>
    <row r="18" spans="1:9" x14ac:dyDescent="0.25">
      <c r="A18" s="6" t="s">
        <v>458</v>
      </c>
      <c r="B18" s="7">
        <v>46087</v>
      </c>
      <c r="C18" s="6" t="s">
        <v>450</v>
      </c>
      <c r="D18" s="3" t="s">
        <v>164</v>
      </c>
      <c r="E18" s="3" t="s">
        <v>284</v>
      </c>
      <c r="F18" s="6" t="s">
        <v>454</v>
      </c>
      <c r="G18" s="9">
        <f>SalesOrders!G8</f>
        <v>1658.94</v>
      </c>
      <c r="H18" s="6" t="s">
        <v>117</v>
      </c>
      <c r="I18" s="6" t="s">
        <v>381</v>
      </c>
    </row>
    <row r="19" spans="1:9" x14ac:dyDescent="0.25">
      <c r="A19" s="6" t="s">
        <v>459</v>
      </c>
      <c r="B19" s="7">
        <v>46088</v>
      </c>
      <c r="C19" s="6" t="s">
        <v>450</v>
      </c>
      <c r="D19" s="3" t="s">
        <v>156</v>
      </c>
      <c r="E19" s="3" t="s">
        <v>285</v>
      </c>
      <c r="F19" s="6" t="s">
        <v>439</v>
      </c>
      <c r="G19" s="9">
        <f>SalesOrders!G9</f>
        <v>2631</v>
      </c>
      <c r="H19" s="6" t="s">
        <v>117</v>
      </c>
      <c r="I19" s="6" t="s">
        <v>381</v>
      </c>
    </row>
    <row r="20" spans="1:9" x14ac:dyDescent="0.25">
      <c r="A20" s="6" t="s">
        <v>460</v>
      </c>
      <c r="B20" s="7">
        <v>46089</v>
      </c>
      <c r="C20" s="6" t="s">
        <v>450</v>
      </c>
      <c r="D20" s="3" t="s">
        <v>145</v>
      </c>
      <c r="E20" s="3" t="s">
        <v>286</v>
      </c>
      <c r="F20" s="6" t="s">
        <v>439</v>
      </c>
      <c r="G20" s="9">
        <f>SalesOrders!G10</f>
        <v>101.28</v>
      </c>
      <c r="H20" s="6" t="s">
        <v>117</v>
      </c>
      <c r="I20" s="6" t="s">
        <v>381</v>
      </c>
    </row>
    <row r="21" spans="1:9" x14ac:dyDescent="0.25">
      <c r="A21" s="6" t="s">
        <v>461</v>
      </c>
      <c r="B21" s="7">
        <v>46090</v>
      </c>
      <c r="C21" s="6" t="s">
        <v>450</v>
      </c>
      <c r="D21" s="3" t="s">
        <v>168</v>
      </c>
      <c r="E21" s="3" t="s">
        <v>287</v>
      </c>
      <c r="F21" s="6" t="s">
        <v>454</v>
      </c>
      <c r="G21" s="9">
        <f>SalesOrders!G11</f>
        <v>771.15000000000009</v>
      </c>
      <c r="H21" s="6" t="s">
        <v>117</v>
      </c>
      <c r="I21" s="6" t="s">
        <v>381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workbookViewId="0">
      <selection activeCell="L2" sqref="L2"/>
    </sheetView>
  </sheetViews>
  <sheetFormatPr defaultRowHeight="15" x14ac:dyDescent="0.25"/>
  <cols>
    <col min="1" max="1" width="11.85546875" bestFit="1" customWidth="1"/>
    <col min="2" max="2" width="15.85546875" bestFit="1" customWidth="1"/>
    <col min="3" max="3" width="13.28515625" bestFit="1" customWidth="1"/>
    <col min="4" max="4" width="23.140625" bestFit="1" customWidth="1"/>
    <col min="5" max="5" width="11.42578125" bestFit="1" customWidth="1"/>
    <col min="6" max="6" width="17.85546875" bestFit="1" customWidth="1"/>
    <col min="7" max="8" width="16.7109375" bestFit="1" customWidth="1"/>
    <col min="9" max="10" width="12.140625" bestFit="1" customWidth="1"/>
    <col min="11" max="11" width="17.28515625" bestFit="1" customWidth="1"/>
  </cols>
  <sheetData>
    <row r="1" spans="1:11" ht="21.95" customHeight="1" x14ac:dyDescent="0.25">
      <c r="A1" s="2" t="s">
        <v>462</v>
      </c>
      <c r="B1" s="2" t="s">
        <v>463</v>
      </c>
      <c r="C1" s="2" t="s">
        <v>464</v>
      </c>
      <c r="D1" s="2" t="s">
        <v>465</v>
      </c>
      <c r="E1" s="2" t="s">
        <v>12</v>
      </c>
      <c r="F1" s="2" t="s">
        <v>466</v>
      </c>
      <c r="G1" s="2" t="s">
        <v>467</v>
      </c>
      <c r="H1" s="2" t="s">
        <v>468</v>
      </c>
      <c r="I1" s="2" t="s">
        <v>469</v>
      </c>
      <c r="J1" s="2" t="s">
        <v>470</v>
      </c>
      <c r="K1" s="2" t="s">
        <v>471</v>
      </c>
    </row>
    <row r="2" spans="1:11" x14ac:dyDescent="0.25">
      <c r="A2" s="6" t="s">
        <v>472</v>
      </c>
      <c r="B2" s="6" t="s">
        <v>473</v>
      </c>
      <c r="C2" s="6" t="s">
        <v>223</v>
      </c>
      <c r="D2" s="6" t="s">
        <v>200</v>
      </c>
      <c r="E2" s="6" t="s">
        <v>43</v>
      </c>
      <c r="F2" s="6" t="s">
        <v>474</v>
      </c>
      <c r="G2" s="7">
        <v>46026</v>
      </c>
      <c r="H2" s="7">
        <v>46027</v>
      </c>
      <c r="I2" s="6" t="s">
        <v>475</v>
      </c>
      <c r="J2" s="6" t="s">
        <v>476</v>
      </c>
      <c r="K2" s="6" t="s">
        <v>477</v>
      </c>
    </row>
    <row r="3" spans="1:11" x14ac:dyDescent="0.25">
      <c r="A3" s="6" t="s">
        <v>478</v>
      </c>
      <c r="B3" s="6" t="s">
        <v>479</v>
      </c>
      <c r="C3" s="6" t="s">
        <v>278</v>
      </c>
      <c r="D3" s="6" t="s">
        <v>156</v>
      </c>
      <c r="E3" s="6" t="s">
        <v>55</v>
      </c>
      <c r="F3" s="6" t="s">
        <v>474</v>
      </c>
      <c r="G3" s="7">
        <v>46027</v>
      </c>
      <c r="H3" s="7">
        <v>46034</v>
      </c>
      <c r="I3" s="6" t="s">
        <v>480</v>
      </c>
      <c r="J3" s="6" t="s">
        <v>481</v>
      </c>
      <c r="K3" s="6" t="s">
        <v>482</v>
      </c>
    </row>
    <row r="4" spans="1:11" x14ac:dyDescent="0.25">
      <c r="A4" s="6" t="s">
        <v>483</v>
      </c>
      <c r="B4" s="6" t="s">
        <v>473</v>
      </c>
      <c r="C4" s="6" t="s">
        <v>229</v>
      </c>
      <c r="D4" s="6" t="s">
        <v>198</v>
      </c>
      <c r="E4" s="6" t="s">
        <v>69</v>
      </c>
      <c r="F4" s="6" t="s">
        <v>484</v>
      </c>
      <c r="G4" s="7">
        <v>46028</v>
      </c>
      <c r="H4" s="7">
        <v>46031</v>
      </c>
      <c r="I4" s="6" t="s">
        <v>480</v>
      </c>
      <c r="J4" s="6" t="s">
        <v>481</v>
      </c>
      <c r="K4" s="6" t="s">
        <v>482</v>
      </c>
    </row>
    <row r="5" spans="1:11" x14ac:dyDescent="0.25">
      <c r="A5" s="6" t="s">
        <v>485</v>
      </c>
      <c r="B5" s="6" t="s">
        <v>479</v>
      </c>
      <c r="C5" s="6" t="s">
        <v>281</v>
      </c>
      <c r="D5" s="6" t="s">
        <v>164</v>
      </c>
      <c r="E5" s="6" t="s">
        <v>71</v>
      </c>
      <c r="F5" s="6" t="s">
        <v>484</v>
      </c>
      <c r="G5" s="7">
        <v>46029</v>
      </c>
      <c r="H5" s="7">
        <v>46037</v>
      </c>
      <c r="I5" s="6" t="s">
        <v>486</v>
      </c>
      <c r="J5" s="6" t="s">
        <v>481</v>
      </c>
      <c r="K5" s="6" t="s">
        <v>487</v>
      </c>
    </row>
    <row r="6" spans="1:11" x14ac:dyDescent="0.25">
      <c r="A6" s="6" t="s">
        <v>488</v>
      </c>
      <c r="B6" s="6" t="s">
        <v>473</v>
      </c>
      <c r="C6" s="6" t="s">
        <v>231</v>
      </c>
      <c r="D6" s="6" t="s">
        <v>200</v>
      </c>
      <c r="E6" s="6" t="s">
        <v>73</v>
      </c>
      <c r="F6" s="6" t="s">
        <v>474</v>
      </c>
      <c r="G6" s="7">
        <v>46030</v>
      </c>
      <c r="H6" s="7">
        <v>46038</v>
      </c>
      <c r="I6" s="6" t="s">
        <v>489</v>
      </c>
      <c r="J6" s="6" t="s">
        <v>490</v>
      </c>
      <c r="K6" s="6" t="s">
        <v>477</v>
      </c>
    </row>
    <row r="7" spans="1:11" x14ac:dyDescent="0.25">
      <c r="A7" s="6" t="s">
        <v>491</v>
      </c>
      <c r="B7" s="6" t="s">
        <v>479</v>
      </c>
      <c r="C7" s="6" t="s">
        <v>283</v>
      </c>
      <c r="D7" s="6" t="s">
        <v>168</v>
      </c>
      <c r="E7" s="6" t="s">
        <v>51</v>
      </c>
      <c r="F7" s="6" t="s">
        <v>492</v>
      </c>
      <c r="G7" s="7">
        <v>46031</v>
      </c>
      <c r="H7" s="7">
        <v>46034</v>
      </c>
      <c r="I7" s="6" t="s">
        <v>475</v>
      </c>
      <c r="J7" s="6" t="s">
        <v>476</v>
      </c>
      <c r="K7" s="6" t="s">
        <v>493</v>
      </c>
    </row>
    <row r="8" spans="1:11" x14ac:dyDescent="0.25">
      <c r="A8" s="6" t="s">
        <v>494</v>
      </c>
      <c r="B8" s="6" t="s">
        <v>473</v>
      </c>
      <c r="C8" s="6" t="s">
        <v>234</v>
      </c>
      <c r="D8" s="6" t="s">
        <v>204</v>
      </c>
      <c r="E8" s="6" t="s">
        <v>51</v>
      </c>
      <c r="F8" s="6" t="s">
        <v>495</v>
      </c>
      <c r="G8" s="7">
        <v>46032</v>
      </c>
      <c r="H8" s="7">
        <v>46037</v>
      </c>
      <c r="I8" s="6" t="s">
        <v>496</v>
      </c>
      <c r="J8" s="6" t="s">
        <v>476</v>
      </c>
      <c r="K8" s="6" t="s">
        <v>487</v>
      </c>
    </row>
    <row r="9" spans="1:11" x14ac:dyDescent="0.25">
      <c r="A9" s="6" t="s">
        <v>497</v>
      </c>
      <c r="B9" s="6" t="s">
        <v>479</v>
      </c>
      <c r="C9" s="6" t="s">
        <v>285</v>
      </c>
      <c r="D9" s="6" t="s">
        <v>164</v>
      </c>
      <c r="E9" s="6" t="s">
        <v>63</v>
      </c>
      <c r="F9" s="6" t="s">
        <v>225</v>
      </c>
      <c r="G9" s="7">
        <v>46033</v>
      </c>
      <c r="H9" s="7">
        <v>46037</v>
      </c>
      <c r="I9" s="6" t="s">
        <v>496</v>
      </c>
      <c r="J9" s="6" t="s">
        <v>490</v>
      </c>
      <c r="K9" s="6" t="s">
        <v>493</v>
      </c>
    </row>
    <row r="10" spans="1:11" x14ac:dyDescent="0.25">
      <c r="A10" s="6" t="s">
        <v>498</v>
      </c>
      <c r="B10" s="6" t="s">
        <v>473</v>
      </c>
      <c r="C10" s="6" t="s">
        <v>236</v>
      </c>
      <c r="D10" s="6" t="s">
        <v>204</v>
      </c>
      <c r="E10" s="6" t="s">
        <v>51</v>
      </c>
      <c r="F10" s="6" t="s">
        <v>474</v>
      </c>
      <c r="G10" s="7">
        <v>46034</v>
      </c>
      <c r="H10" s="7">
        <v>46035</v>
      </c>
      <c r="I10" s="6" t="s">
        <v>496</v>
      </c>
      <c r="J10" s="6" t="s">
        <v>476</v>
      </c>
      <c r="K10" s="6" t="s">
        <v>477</v>
      </c>
    </row>
    <row r="11" spans="1:11" x14ac:dyDescent="0.25">
      <c r="A11" s="6" t="s">
        <v>499</v>
      </c>
      <c r="B11" s="6" t="s">
        <v>479</v>
      </c>
      <c r="C11" s="6" t="s">
        <v>287</v>
      </c>
      <c r="D11" s="6" t="s">
        <v>176</v>
      </c>
      <c r="E11" s="6" t="s">
        <v>75</v>
      </c>
      <c r="F11" s="6" t="s">
        <v>225</v>
      </c>
      <c r="G11" s="7">
        <v>46035</v>
      </c>
      <c r="H11" s="7">
        <v>46043</v>
      </c>
      <c r="I11" s="6" t="s">
        <v>489</v>
      </c>
      <c r="J11" s="6" t="s">
        <v>481</v>
      </c>
      <c r="K11" s="6" t="s">
        <v>482</v>
      </c>
    </row>
    <row r="12" spans="1:11" x14ac:dyDescent="0.25">
      <c r="A12" s="6" t="s">
        <v>500</v>
      </c>
      <c r="B12" s="6" t="s">
        <v>473</v>
      </c>
      <c r="C12" s="6" t="s">
        <v>238</v>
      </c>
      <c r="D12" s="6" t="s">
        <v>210</v>
      </c>
      <c r="E12" s="6" t="s">
        <v>55</v>
      </c>
      <c r="F12" s="6" t="s">
        <v>484</v>
      </c>
      <c r="G12" s="7">
        <v>46036</v>
      </c>
      <c r="H12" s="7">
        <v>46040</v>
      </c>
      <c r="I12" s="6" t="s">
        <v>486</v>
      </c>
      <c r="J12" s="6" t="s">
        <v>476</v>
      </c>
      <c r="K12" s="6" t="s">
        <v>487</v>
      </c>
    </row>
    <row r="13" spans="1:11" x14ac:dyDescent="0.25">
      <c r="A13" s="6" t="s">
        <v>501</v>
      </c>
      <c r="B13" s="6" t="s">
        <v>479</v>
      </c>
      <c r="C13" s="6" t="s">
        <v>289</v>
      </c>
      <c r="D13" s="6" t="s">
        <v>132</v>
      </c>
      <c r="E13" s="6" t="s">
        <v>73</v>
      </c>
      <c r="F13" s="6" t="s">
        <v>225</v>
      </c>
      <c r="G13" s="7">
        <v>46037</v>
      </c>
      <c r="H13" s="7">
        <v>46042</v>
      </c>
      <c r="I13" s="6" t="s">
        <v>496</v>
      </c>
      <c r="J13" s="6" t="s">
        <v>481</v>
      </c>
      <c r="K13" s="6" t="s">
        <v>482</v>
      </c>
    </row>
    <row r="14" spans="1:11" x14ac:dyDescent="0.25">
      <c r="A14" s="6" t="s">
        <v>502</v>
      </c>
      <c r="B14" s="6" t="s">
        <v>473</v>
      </c>
      <c r="C14" s="6" t="s">
        <v>240</v>
      </c>
      <c r="D14" s="6" t="s">
        <v>196</v>
      </c>
      <c r="E14" s="6" t="s">
        <v>79</v>
      </c>
      <c r="F14" s="6" t="s">
        <v>484</v>
      </c>
      <c r="G14" s="7">
        <v>46038</v>
      </c>
      <c r="H14" s="7">
        <v>46040</v>
      </c>
      <c r="I14" s="6" t="s">
        <v>489</v>
      </c>
      <c r="J14" s="6" t="s">
        <v>476</v>
      </c>
      <c r="K14" s="6" t="s">
        <v>503</v>
      </c>
    </row>
    <row r="15" spans="1:11" x14ac:dyDescent="0.25">
      <c r="A15" s="6" t="s">
        <v>504</v>
      </c>
      <c r="B15" s="6" t="s">
        <v>479</v>
      </c>
      <c r="C15" s="6" t="s">
        <v>291</v>
      </c>
      <c r="D15" s="6" t="s">
        <v>141</v>
      </c>
      <c r="E15" s="6" t="s">
        <v>45</v>
      </c>
      <c r="F15" s="6" t="s">
        <v>484</v>
      </c>
      <c r="G15" s="7">
        <v>46039</v>
      </c>
      <c r="H15" s="7">
        <v>46045</v>
      </c>
      <c r="I15" s="6" t="s">
        <v>486</v>
      </c>
      <c r="J15" s="6" t="s">
        <v>490</v>
      </c>
      <c r="K15" s="6" t="s">
        <v>493</v>
      </c>
    </row>
    <row r="16" spans="1:11" x14ac:dyDescent="0.25">
      <c r="A16" s="6" t="s">
        <v>505</v>
      </c>
      <c r="B16" s="6" t="s">
        <v>473</v>
      </c>
      <c r="C16" s="6" t="s">
        <v>242</v>
      </c>
      <c r="D16" s="6" t="s">
        <v>212</v>
      </c>
      <c r="E16" s="6" t="s">
        <v>43</v>
      </c>
      <c r="F16" s="6" t="s">
        <v>474</v>
      </c>
      <c r="G16" s="7">
        <v>46040</v>
      </c>
      <c r="H16" s="7">
        <v>46048</v>
      </c>
      <c r="I16" s="6" t="s">
        <v>489</v>
      </c>
      <c r="J16" s="6" t="s">
        <v>490</v>
      </c>
      <c r="K16" s="6" t="s">
        <v>493</v>
      </c>
    </row>
    <row r="17" spans="1:11" x14ac:dyDescent="0.25">
      <c r="A17" s="6" t="s">
        <v>506</v>
      </c>
      <c r="B17" s="6" t="s">
        <v>479</v>
      </c>
      <c r="C17" s="6" t="s">
        <v>293</v>
      </c>
      <c r="D17" s="6" t="s">
        <v>132</v>
      </c>
      <c r="E17" s="6" t="s">
        <v>61</v>
      </c>
      <c r="F17" s="6" t="s">
        <v>225</v>
      </c>
      <c r="G17" s="7">
        <v>46041</v>
      </c>
      <c r="H17" s="7">
        <v>46044</v>
      </c>
      <c r="I17" s="6" t="s">
        <v>480</v>
      </c>
      <c r="J17" s="6" t="s">
        <v>490</v>
      </c>
      <c r="K17" s="6" t="s">
        <v>503</v>
      </c>
    </row>
    <row r="18" spans="1:11" x14ac:dyDescent="0.25">
      <c r="A18" s="6" t="s">
        <v>507</v>
      </c>
      <c r="B18" s="6" t="s">
        <v>473</v>
      </c>
      <c r="C18" s="6" t="s">
        <v>244</v>
      </c>
      <c r="D18" s="6" t="s">
        <v>212</v>
      </c>
      <c r="E18" s="6" t="s">
        <v>67</v>
      </c>
      <c r="F18" s="6" t="s">
        <v>474</v>
      </c>
      <c r="G18" s="7">
        <v>46042</v>
      </c>
      <c r="H18" s="7">
        <v>46044</v>
      </c>
      <c r="I18" s="6" t="s">
        <v>496</v>
      </c>
      <c r="J18" s="6" t="s">
        <v>481</v>
      </c>
      <c r="K18" s="6" t="s">
        <v>493</v>
      </c>
    </row>
    <row r="19" spans="1:11" x14ac:dyDescent="0.25">
      <c r="A19" s="6" t="s">
        <v>508</v>
      </c>
      <c r="B19" s="6" t="s">
        <v>479</v>
      </c>
      <c r="C19" s="6" t="s">
        <v>295</v>
      </c>
      <c r="D19" s="6" t="s">
        <v>174</v>
      </c>
      <c r="E19" s="6" t="s">
        <v>37</v>
      </c>
      <c r="F19" s="6" t="s">
        <v>495</v>
      </c>
      <c r="G19" s="7">
        <v>46043</v>
      </c>
      <c r="H19" s="7">
        <v>46049</v>
      </c>
      <c r="I19" s="6" t="s">
        <v>489</v>
      </c>
      <c r="J19" s="6" t="s">
        <v>490</v>
      </c>
      <c r="K19" s="6" t="s">
        <v>503</v>
      </c>
    </row>
    <row r="20" spans="1:11" x14ac:dyDescent="0.25">
      <c r="A20" s="6" t="s">
        <v>509</v>
      </c>
      <c r="B20" s="6" t="s">
        <v>473</v>
      </c>
      <c r="C20" s="6" t="s">
        <v>246</v>
      </c>
      <c r="D20" s="6" t="s">
        <v>212</v>
      </c>
      <c r="E20" s="6" t="s">
        <v>73</v>
      </c>
      <c r="F20" s="6" t="s">
        <v>474</v>
      </c>
      <c r="G20" s="7">
        <v>46044</v>
      </c>
      <c r="H20" s="7">
        <v>46046</v>
      </c>
      <c r="I20" s="6" t="s">
        <v>480</v>
      </c>
      <c r="J20" s="6" t="s">
        <v>476</v>
      </c>
      <c r="K20" s="6" t="s">
        <v>477</v>
      </c>
    </row>
    <row r="21" spans="1:11" x14ac:dyDescent="0.25">
      <c r="A21" s="6" t="s">
        <v>510</v>
      </c>
      <c r="B21" s="6" t="s">
        <v>479</v>
      </c>
      <c r="C21" s="6" t="s">
        <v>297</v>
      </c>
      <c r="D21" s="6" t="s">
        <v>178</v>
      </c>
      <c r="E21" s="6" t="s">
        <v>67</v>
      </c>
      <c r="F21" s="6" t="s">
        <v>474</v>
      </c>
      <c r="G21" s="7">
        <v>46045</v>
      </c>
      <c r="H21" s="7">
        <v>46049</v>
      </c>
      <c r="I21" s="6" t="s">
        <v>475</v>
      </c>
      <c r="J21" s="6" t="s">
        <v>490</v>
      </c>
      <c r="K21" s="6" t="s">
        <v>503</v>
      </c>
    </row>
    <row r="22" spans="1:11" x14ac:dyDescent="0.25">
      <c r="A22" s="6" t="s">
        <v>511</v>
      </c>
      <c r="B22" s="6" t="s">
        <v>473</v>
      </c>
      <c r="C22" s="6" t="s">
        <v>248</v>
      </c>
      <c r="D22" s="6" t="s">
        <v>214</v>
      </c>
      <c r="E22" s="6" t="s">
        <v>77</v>
      </c>
      <c r="F22" s="6" t="s">
        <v>474</v>
      </c>
      <c r="G22" s="7">
        <v>46046</v>
      </c>
      <c r="H22" s="7">
        <v>46053</v>
      </c>
      <c r="I22" s="6" t="s">
        <v>475</v>
      </c>
      <c r="J22" s="6" t="s">
        <v>481</v>
      </c>
      <c r="K22" s="6" t="s">
        <v>477</v>
      </c>
    </row>
    <row r="23" spans="1:11" x14ac:dyDescent="0.25">
      <c r="A23" s="6" t="s">
        <v>512</v>
      </c>
      <c r="B23" s="6" t="s">
        <v>479</v>
      </c>
      <c r="C23" s="6" t="s">
        <v>299</v>
      </c>
      <c r="D23" s="6" t="s">
        <v>121</v>
      </c>
      <c r="E23" s="6" t="s">
        <v>51</v>
      </c>
      <c r="F23" s="6" t="s">
        <v>495</v>
      </c>
      <c r="G23" s="7">
        <v>46047</v>
      </c>
      <c r="H23" s="7">
        <v>46049</v>
      </c>
      <c r="I23" s="6" t="s">
        <v>475</v>
      </c>
      <c r="J23" s="6" t="s">
        <v>481</v>
      </c>
      <c r="K23" s="6" t="s">
        <v>482</v>
      </c>
    </row>
    <row r="24" spans="1:11" x14ac:dyDescent="0.25">
      <c r="A24" s="6" t="s">
        <v>513</v>
      </c>
      <c r="B24" s="6" t="s">
        <v>473</v>
      </c>
      <c r="C24" s="6" t="s">
        <v>250</v>
      </c>
      <c r="D24" s="6" t="s">
        <v>189</v>
      </c>
      <c r="E24" s="6" t="s">
        <v>57</v>
      </c>
      <c r="F24" s="6" t="s">
        <v>495</v>
      </c>
      <c r="G24" s="7">
        <v>46048</v>
      </c>
      <c r="H24" s="7">
        <v>46054</v>
      </c>
      <c r="I24" s="6" t="s">
        <v>486</v>
      </c>
      <c r="J24" s="6" t="s">
        <v>476</v>
      </c>
      <c r="K24" s="6" t="s">
        <v>482</v>
      </c>
    </row>
    <row r="25" spans="1:11" x14ac:dyDescent="0.25">
      <c r="A25" s="6" t="s">
        <v>514</v>
      </c>
      <c r="B25" s="6" t="s">
        <v>479</v>
      </c>
      <c r="C25" s="6" t="s">
        <v>301</v>
      </c>
      <c r="D25" s="6" t="s">
        <v>137</v>
      </c>
      <c r="E25" s="6" t="s">
        <v>59</v>
      </c>
      <c r="F25" s="6" t="s">
        <v>225</v>
      </c>
      <c r="G25" s="7">
        <v>46049</v>
      </c>
      <c r="H25" s="7">
        <v>46057</v>
      </c>
      <c r="I25" s="6" t="s">
        <v>486</v>
      </c>
      <c r="J25" s="6" t="s">
        <v>476</v>
      </c>
      <c r="K25" s="6" t="s">
        <v>493</v>
      </c>
    </row>
    <row r="26" spans="1:11" x14ac:dyDescent="0.25">
      <c r="A26" s="6" t="s">
        <v>515</v>
      </c>
      <c r="B26" s="6" t="s">
        <v>473</v>
      </c>
      <c r="C26" s="6" t="s">
        <v>252</v>
      </c>
      <c r="D26" s="6" t="s">
        <v>182</v>
      </c>
      <c r="E26" s="6" t="s">
        <v>77</v>
      </c>
      <c r="F26" s="6" t="s">
        <v>474</v>
      </c>
      <c r="G26" s="7">
        <v>46050</v>
      </c>
      <c r="H26" s="7">
        <v>46054</v>
      </c>
      <c r="I26" s="6" t="s">
        <v>496</v>
      </c>
      <c r="J26" s="6" t="s">
        <v>476</v>
      </c>
      <c r="K26" s="6" t="s">
        <v>487</v>
      </c>
    </row>
    <row r="27" spans="1:11" x14ac:dyDescent="0.25">
      <c r="A27" s="6" t="s">
        <v>516</v>
      </c>
      <c r="B27" s="6" t="s">
        <v>479</v>
      </c>
      <c r="C27" s="6" t="s">
        <v>303</v>
      </c>
      <c r="D27" s="6" t="s">
        <v>162</v>
      </c>
      <c r="E27" s="6" t="s">
        <v>37</v>
      </c>
      <c r="F27" s="6" t="s">
        <v>474</v>
      </c>
      <c r="G27" s="7">
        <v>46051</v>
      </c>
      <c r="H27" s="7">
        <v>46057</v>
      </c>
      <c r="I27" s="6" t="s">
        <v>475</v>
      </c>
      <c r="J27" s="6" t="s">
        <v>476</v>
      </c>
      <c r="K27" s="6" t="s">
        <v>493</v>
      </c>
    </row>
    <row r="28" spans="1:11" x14ac:dyDescent="0.25">
      <c r="A28" s="6" t="s">
        <v>517</v>
      </c>
      <c r="B28" s="6" t="s">
        <v>473</v>
      </c>
      <c r="C28" s="6" t="s">
        <v>254</v>
      </c>
      <c r="D28" s="6" t="s">
        <v>191</v>
      </c>
      <c r="E28" s="6" t="s">
        <v>37</v>
      </c>
      <c r="F28" s="6" t="s">
        <v>495</v>
      </c>
      <c r="G28" s="7">
        <v>46052</v>
      </c>
      <c r="H28" s="7">
        <v>46054</v>
      </c>
      <c r="I28" s="6" t="s">
        <v>480</v>
      </c>
      <c r="J28" s="6" t="s">
        <v>490</v>
      </c>
      <c r="K28" s="6" t="s">
        <v>482</v>
      </c>
    </row>
    <row r="29" spans="1:11" x14ac:dyDescent="0.25">
      <c r="A29" s="6" t="s">
        <v>518</v>
      </c>
      <c r="B29" s="6" t="s">
        <v>479</v>
      </c>
      <c r="C29" s="6" t="s">
        <v>305</v>
      </c>
      <c r="D29" s="6" t="s">
        <v>114</v>
      </c>
      <c r="E29" s="6" t="s">
        <v>30</v>
      </c>
      <c r="F29" s="6" t="s">
        <v>474</v>
      </c>
      <c r="G29" s="7">
        <v>46053</v>
      </c>
      <c r="H29" s="7">
        <v>46057</v>
      </c>
      <c r="I29" s="6" t="s">
        <v>480</v>
      </c>
      <c r="J29" s="6" t="s">
        <v>490</v>
      </c>
      <c r="K29" s="6" t="s">
        <v>487</v>
      </c>
    </row>
    <row r="30" spans="1:11" x14ac:dyDescent="0.25">
      <c r="A30" s="6" t="s">
        <v>519</v>
      </c>
      <c r="B30" s="6" t="s">
        <v>473</v>
      </c>
      <c r="C30" s="6" t="s">
        <v>256</v>
      </c>
      <c r="D30" s="6" t="s">
        <v>185</v>
      </c>
      <c r="E30" s="6" t="s">
        <v>81</v>
      </c>
      <c r="F30" s="6" t="s">
        <v>492</v>
      </c>
      <c r="G30" s="7">
        <v>46054</v>
      </c>
      <c r="H30" s="7">
        <v>46058</v>
      </c>
      <c r="I30" s="6" t="s">
        <v>486</v>
      </c>
      <c r="J30" s="6" t="s">
        <v>481</v>
      </c>
      <c r="K30" s="6" t="s">
        <v>487</v>
      </c>
    </row>
    <row r="31" spans="1:11" x14ac:dyDescent="0.25">
      <c r="A31" s="6" t="s">
        <v>520</v>
      </c>
      <c r="B31" s="6" t="s">
        <v>479</v>
      </c>
      <c r="C31" s="6" t="s">
        <v>307</v>
      </c>
      <c r="D31" s="6" t="s">
        <v>160</v>
      </c>
      <c r="E31" s="6" t="s">
        <v>81</v>
      </c>
      <c r="F31" s="6" t="s">
        <v>484</v>
      </c>
      <c r="G31" s="7">
        <v>46055</v>
      </c>
      <c r="H31" s="7">
        <v>46056</v>
      </c>
      <c r="I31" s="6" t="s">
        <v>489</v>
      </c>
      <c r="J31" s="6" t="s">
        <v>481</v>
      </c>
      <c r="K31" s="6" t="s">
        <v>487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selection activeCell="G2" sqref="G2"/>
    </sheetView>
  </sheetViews>
  <sheetFormatPr defaultRowHeight="15" x14ac:dyDescent="0.25"/>
  <cols>
    <col min="1" max="1" width="14.85546875" bestFit="1" customWidth="1"/>
    <col min="2" max="2" width="10.85546875" bestFit="1" customWidth="1"/>
    <col min="3" max="3" width="25.5703125" bestFit="1" customWidth="1"/>
    <col min="4" max="4" width="39.85546875" bestFit="1" customWidth="1"/>
    <col min="5" max="5" width="39" bestFit="1" customWidth="1"/>
    <col min="6" max="6" width="34" bestFit="1" customWidth="1"/>
  </cols>
  <sheetData>
    <row r="1" spans="1:6" ht="21.95" customHeight="1" x14ac:dyDescent="0.25">
      <c r="A1" s="2" t="s">
        <v>521</v>
      </c>
      <c r="B1" s="2" t="s">
        <v>522</v>
      </c>
      <c r="C1" s="2" t="s">
        <v>523</v>
      </c>
      <c r="D1" s="2" t="s">
        <v>524</v>
      </c>
      <c r="E1" s="2" t="s">
        <v>525</v>
      </c>
      <c r="F1" s="2" t="s">
        <v>526</v>
      </c>
    </row>
    <row r="2" spans="1:6" x14ac:dyDescent="0.25">
      <c r="A2" s="10" t="s">
        <v>527</v>
      </c>
      <c r="B2" s="10" t="s">
        <v>528</v>
      </c>
      <c r="C2" s="10" t="s">
        <v>529</v>
      </c>
      <c r="D2" s="10" t="s">
        <v>530</v>
      </c>
      <c r="E2" s="10" t="s">
        <v>531</v>
      </c>
      <c r="F2" s="10" t="s">
        <v>532</v>
      </c>
    </row>
    <row r="3" spans="1:6" x14ac:dyDescent="0.25">
      <c r="A3" s="10" t="s">
        <v>533</v>
      </c>
      <c r="B3" s="10" t="s">
        <v>528</v>
      </c>
      <c r="C3" s="10" t="s">
        <v>534</v>
      </c>
      <c r="D3" s="10" t="s">
        <v>535</v>
      </c>
      <c r="E3" s="10" t="s">
        <v>536</v>
      </c>
      <c r="F3" s="10" t="s">
        <v>537</v>
      </c>
    </row>
    <row r="4" spans="1:6" x14ac:dyDescent="0.25">
      <c r="A4" s="10" t="s">
        <v>538</v>
      </c>
      <c r="B4" s="10" t="s">
        <v>539</v>
      </c>
      <c r="C4" s="10" t="s">
        <v>540</v>
      </c>
      <c r="D4" s="10" t="s">
        <v>541</v>
      </c>
      <c r="E4" s="10" t="s">
        <v>542</v>
      </c>
      <c r="F4" s="10" t="s">
        <v>543</v>
      </c>
    </row>
    <row r="5" spans="1:6" x14ac:dyDescent="0.25">
      <c r="A5" s="10" t="s">
        <v>544</v>
      </c>
      <c r="B5" s="10" t="s">
        <v>539</v>
      </c>
      <c r="C5" s="10" t="s">
        <v>545</v>
      </c>
      <c r="D5" s="10" t="s">
        <v>546</v>
      </c>
      <c r="E5" s="10" t="s">
        <v>542</v>
      </c>
      <c r="F5" s="10" t="s">
        <v>547</v>
      </c>
    </row>
    <row r="6" spans="1:6" x14ac:dyDescent="0.25">
      <c r="A6" s="10" t="s">
        <v>548</v>
      </c>
      <c r="B6" s="10" t="s">
        <v>549</v>
      </c>
      <c r="C6" s="10" t="s">
        <v>550</v>
      </c>
      <c r="D6" s="10" t="s">
        <v>551</v>
      </c>
      <c r="E6" s="10" t="s">
        <v>552</v>
      </c>
      <c r="F6" s="10" t="s">
        <v>553</v>
      </c>
    </row>
    <row r="7" spans="1:6" x14ac:dyDescent="0.25">
      <c r="A7" s="10" t="s">
        <v>554</v>
      </c>
      <c r="B7" s="10" t="s">
        <v>549</v>
      </c>
      <c r="C7" s="10" t="s">
        <v>555</v>
      </c>
      <c r="D7" s="10" t="s">
        <v>556</v>
      </c>
      <c r="E7" s="10" t="s">
        <v>557</v>
      </c>
      <c r="F7" s="10" t="s">
        <v>558</v>
      </c>
    </row>
    <row r="8" spans="1:6" x14ac:dyDescent="0.25">
      <c r="A8" s="10" t="s">
        <v>559</v>
      </c>
      <c r="B8" s="10" t="s">
        <v>560</v>
      </c>
      <c r="C8" s="10" t="s">
        <v>561</v>
      </c>
      <c r="D8" s="10" t="s">
        <v>562</v>
      </c>
      <c r="E8" s="10" t="s">
        <v>563</v>
      </c>
      <c r="F8" s="10" t="s">
        <v>564</v>
      </c>
    </row>
    <row r="9" spans="1:6" x14ac:dyDescent="0.25">
      <c r="A9" s="10" t="s">
        <v>565</v>
      </c>
      <c r="B9" s="10" t="s">
        <v>560</v>
      </c>
      <c r="C9" s="10" t="s">
        <v>566</v>
      </c>
      <c r="D9" s="10" t="s">
        <v>567</v>
      </c>
      <c r="E9" s="10" t="s">
        <v>568</v>
      </c>
      <c r="F9" s="10" t="s">
        <v>569</v>
      </c>
    </row>
    <row r="10" spans="1:6" x14ac:dyDescent="0.25">
      <c r="A10" s="10" t="s">
        <v>570</v>
      </c>
      <c r="B10" s="10" t="s">
        <v>560</v>
      </c>
      <c r="C10" s="10" t="s">
        <v>571</v>
      </c>
      <c r="D10" s="10" t="s">
        <v>572</v>
      </c>
      <c r="E10" s="10" t="s">
        <v>573</v>
      </c>
      <c r="F10" s="10" t="s">
        <v>574</v>
      </c>
    </row>
    <row r="11" spans="1:6" x14ac:dyDescent="0.25">
      <c r="A11" s="10" t="s">
        <v>575</v>
      </c>
      <c r="B11" s="10" t="s">
        <v>528</v>
      </c>
      <c r="C11" s="10" t="s">
        <v>576</v>
      </c>
      <c r="D11" s="10" t="s">
        <v>577</v>
      </c>
      <c r="E11" s="10" t="s">
        <v>578</v>
      </c>
      <c r="F11" s="10" t="s">
        <v>579</v>
      </c>
    </row>
    <row r="12" spans="1:6" x14ac:dyDescent="0.25">
      <c r="A12" s="10" t="s">
        <v>580</v>
      </c>
      <c r="B12" s="10" t="s">
        <v>560</v>
      </c>
      <c r="C12" s="10" t="s">
        <v>581</v>
      </c>
      <c r="D12" s="10" t="s">
        <v>582</v>
      </c>
      <c r="E12" s="10" t="s">
        <v>583</v>
      </c>
      <c r="F12" s="10" t="s">
        <v>584</v>
      </c>
    </row>
    <row r="13" spans="1:6" x14ac:dyDescent="0.25">
      <c r="A13" s="10" t="s">
        <v>585</v>
      </c>
      <c r="B13" s="10" t="s">
        <v>539</v>
      </c>
      <c r="C13" s="10" t="s">
        <v>586</v>
      </c>
      <c r="D13" s="10" t="s">
        <v>587</v>
      </c>
      <c r="E13" s="10" t="s">
        <v>542</v>
      </c>
      <c r="F13" s="10" t="s">
        <v>588</v>
      </c>
    </row>
    <row r="14" spans="1:6" x14ac:dyDescent="0.25">
      <c r="A14" s="10" t="s">
        <v>589</v>
      </c>
      <c r="B14" s="10" t="s">
        <v>528</v>
      </c>
      <c r="C14" s="10" t="s">
        <v>590</v>
      </c>
      <c r="D14" s="10" t="s">
        <v>591</v>
      </c>
      <c r="E14" s="10" t="s">
        <v>592</v>
      </c>
      <c r="F14" s="10" t="s">
        <v>593</v>
      </c>
    </row>
    <row r="15" spans="1:6" x14ac:dyDescent="0.25">
      <c r="A15" s="10" t="s">
        <v>594</v>
      </c>
      <c r="B15" s="10" t="s">
        <v>560</v>
      </c>
      <c r="C15" s="10" t="s">
        <v>595</v>
      </c>
      <c r="D15" s="10" t="s">
        <v>596</v>
      </c>
      <c r="E15" s="10" t="s">
        <v>597</v>
      </c>
      <c r="F15" s="10" t="s">
        <v>598</v>
      </c>
    </row>
    <row r="16" spans="1:6" x14ac:dyDescent="0.25">
      <c r="A16" s="10" t="s">
        <v>599</v>
      </c>
      <c r="B16" s="10" t="s">
        <v>539</v>
      </c>
      <c r="C16" s="10" t="s">
        <v>600</v>
      </c>
      <c r="D16" s="10" t="s">
        <v>601</v>
      </c>
      <c r="E16" s="10" t="s">
        <v>542</v>
      </c>
      <c r="F16" s="10" t="s">
        <v>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Products</vt:lpstr>
      <vt:lpstr>InventoryStructure</vt:lpstr>
      <vt:lpstr>Customers</vt:lpstr>
      <vt:lpstr>Vendors</vt:lpstr>
      <vt:lpstr>PurchaseOrders</vt:lpstr>
      <vt:lpstr>SalesOrders</vt:lpstr>
      <vt:lpstr>InventoryTransfers</vt:lpstr>
      <vt:lpstr>GLJournals</vt:lpstr>
      <vt:lpstr>Payments</vt:lpstr>
      <vt:lpstr>OrderTracking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 Srinivasan</cp:lastModifiedBy>
  <dcterms:modified xsi:type="dcterms:W3CDTF">2026-05-01T20:46:43Z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46dfe0-534f-4c95-815c-5b1af86b9823_Enabled">
    <vt:lpwstr>true</vt:lpwstr>
  </property>
  <property fmtid="{D5CDD505-2E9C-101B-9397-08002B2CF9AE}" pid="3" name="MSIP_Label_2f46dfe0-534f-4c95-815c-5b1af86b9823_SetDate">
    <vt:lpwstr>2026-03-30T19:04:15Z</vt:lpwstr>
  </property>
  <property fmtid="{D5CDD505-2E9C-101B-9397-08002B2CF9AE}" pid="4" name="MSIP_Label_2f46dfe0-534f-4c95-815c-5b1af86b9823_Method">
    <vt:lpwstr>Privileged</vt:lpwstr>
  </property>
  <property fmtid="{D5CDD505-2E9C-101B-9397-08002B2CF9AE}" pid="5" name="MSIP_Label_2f46dfe0-534f-4c95-815c-5b1af86b9823_Name">
    <vt:lpwstr>2f46dfe0-534f-4c95-815c-5b1af86b9823</vt:lpwstr>
  </property>
  <property fmtid="{D5CDD505-2E9C-101B-9397-08002B2CF9AE}" pid="6" name="MSIP_Label_2f46dfe0-534f-4c95-815c-5b1af86b9823_SiteId">
    <vt:lpwstr>d5fb7087-3777-42ad-966a-892ef47225d1</vt:lpwstr>
  </property>
  <property fmtid="{D5CDD505-2E9C-101B-9397-08002B2CF9AE}" pid="7" name="MSIP_Label_2f46dfe0-534f-4c95-815c-5b1af86b9823_ActionId">
    <vt:lpwstr>28d82318-aaa0-41e0-945c-1ca936bf7653</vt:lpwstr>
  </property>
  <property fmtid="{D5CDD505-2E9C-101B-9397-08002B2CF9AE}" pid="8" name="MSIP_Label_2f46dfe0-534f-4c95-815c-5b1af86b9823_ContentBits">
    <vt:lpwstr>0</vt:lpwstr>
  </property>
  <property fmtid="{D5CDD505-2E9C-101B-9397-08002B2CF9AE}" pid="9" name="MSIP_Label_2f46dfe0-534f-4c95-815c-5b1af86b9823_Tag">
    <vt:lpwstr>10, 0, 1, 1</vt:lpwstr>
  </property>
</Properties>
</file>